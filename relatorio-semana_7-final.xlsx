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/>
  <mc:AlternateContent xmlns:mc="http://schemas.openxmlformats.org/markup-compatibility/2006">
    <mc:Choice Requires="x15">
      <x15ac:absPath xmlns:x15ac="http://schemas.microsoft.com/office/spreadsheetml/2010/11/ac" url="D:\working\waccache\CP1PEPF00005C0B\EXCELCNV\bc3dec42-2df4-4270-a792-9264df32e76f\"/>
    </mc:Choice>
  </mc:AlternateContent>
  <xr:revisionPtr revIDLastSave="0" documentId="8_{AE461302-ACB0-4A87-B60E-6986937C883B}" xr6:coauthVersionLast="47" xr6:coauthVersionMax="47" xr10:uidLastSave="{00000000-0000-0000-0000-000000000000}"/>
  <bookViews>
    <workbookView xWindow="-60" yWindow="-60" windowWidth="15480" windowHeight="11640" tabRatio="500" firstSheet="1" activeTab="3" xr2:uid="{00000000-000D-0000-FFFF-FFFF00000000}"/>
  </bookViews>
  <sheets>
    <sheet name="Movie Data" sheetId="1" r:id="rId1"/>
    <sheet name="Resumo" sheetId="2" r:id="rId2"/>
    <sheet name="Analysis" sheetId="3" r:id="rId3"/>
    <sheet name="Dashboard" sheetId="4" r:id="rId4"/>
  </sheets>
  <externalReferences>
    <externalReference r:id="rId5"/>
  </externalReferences>
  <calcPr calcId="191028" iterateDelta="1E-4"/>
  <pivotCaches>
    <pivotCache cacheId="33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6" i="4" l="1"/>
  <c r="J25" i="4"/>
  <c r="J24" i="4"/>
  <c r="J23" i="4"/>
  <c r="J22" i="4"/>
  <c r="J21" i="4"/>
  <c r="I26" i="4"/>
  <c r="I25" i="4"/>
  <c r="I24" i="4"/>
  <c r="I23" i="4"/>
  <c r="I22" i="4"/>
  <c r="I21" i="4"/>
  <c r="B49" i="4"/>
  <c r="J39" i="4"/>
  <c r="I39" i="4"/>
  <c r="H39" i="4"/>
  <c r="G39" i="4"/>
  <c r="E39" i="4"/>
  <c r="D39" i="4"/>
  <c r="C39" i="4"/>
  <c r="B39" i="4"/>
  <c r="J38" i="4"/>
  <c r="I38" i="4"/>
  <c r="H38" i="4"/>
  <c r="G38" i="4"/>
  <c r="E38" i="4"/>
  <c r="D38" i="4"/>
  <c r="C38" i="4"/>
  <c r="B38" i="4"/>
  <c r="J37" i="4"/>
  <c r="I37" i="4"/>
  <c r="H37" i="4"/>
  <c r="G37" i="4"/>
  <c r="E37" i="4"/>
  <c r="D37" i="4"/>
  <c r="C37" i="4"/>
  <c r="B37" i="4"/>
  <c r="J36" i="4"/>
  <c r="I36" i="4"/>
  <c r="H36" i="4"/>
  <c r="G36" i="4"/>
  <c r="E36" i="4"/>
  <c r="D36" i="4"/>
  <c r="C36" i="4"/>
  <c r="B36" i="4"/>
  <c r="J35" i="4"/>
  <c r="I35" i="4"/>
  <c r="H35" i="4"/>
  <c r="G35" i="4"/>
  <c r="E35" i="4"/>
  <c r="D35" i="4"/>
  <c r="C35" i="4"/>
  <c r="B35" i="4"/>
  <c r="J34" i="4"/>
  <c r="I34" i="4"/>
  <c r="H34" i="4"/>
  <c r="G34" i="4"/>
  <c r="E34" i="4"/>
  <c r="D34" i="4"/>
  <c r="C34" i="4"/>
  <c r="B34" i="4"/>
  <c r="E30" i="4"/>
  <c r="D30" i="4"/>
  <c r="C30" i="4"/>
  <c r="E29" i="4"/>
  <c r="D29" i="4"/>
  <c r="C29" i="4"/>
  <c r="E28" i="4"/>
  <c r="D28" i="4"/>
  <c r="C28" i="4"/>
  <c r="E27" i="4"/>
  <c r="D27" i="4"/>
  <c r="C27" i="4"/>
  <c r="H26" i="4"/>
  <c r="E26" i="4"/>
  <c r="D26" i="4"/>
  <c r="C26" i="4"/>
  <c r="H25" i="4"/>
  <c r="E25" i="4"/>
  <c r="D25" i="4"/>
  <c r="C25" i="4"/>
  <c r="H24" i="4"/>
  <c r="E24" i="4"/>
  <c r="D24" i="4"/>
  <c r="C24" i="4"/>
  <c r="H23" i="4"/>
  <c r="E23" i="4"/>
  <c r="D23" i="4"/>
  <c r="C23" i="4"/>
  <c r="H22" i="4"/>
  <c r="E22" i="4"/>
  <c r="D22" i="4"/>
  <c r="C22" i="4"/>
  <c r="H21" i="4"/>
  <c r="E21" i="4"/>
  <c r="D21" i="4"/>
  <c r="C21" i="4"/>
  <c r="G11" i="4"/>
  <c r="B11" i="4"/>
  <c r="G4" i="4"/>
  <c r="B4" i="4"/>
  <c r="H40" i="3"/>
  <c r="G40" i="3"/>
  <c r="D40" i="3"/>
  <c r="C40" i="3"/>
  <c r="B40" i="3"/>
  <c r="H39" i="3"/>
  <c r="G39" i="3"/>
  <c r="D39" i="3"/>
  <c r="C39" i="3"/>
  <c r="B39" i="3"/>
  <c r="H38" i="3"/>
  <c r="G38" i="3"/>
  <c r="D38" i="3"/>
  <c r="C38" i="3"/>
  <c r="B38" i="3"/>
  <c r="H37" i="3"/>
  <c r="G37" i="3"/>
  <c r="D37" i="3"/>
  <c r="C37" i="3"/>
  <c r="B37" i="3"/>
  <c r="H36" i="3"/>
  <c r="G36" i="3"/>
  <c r="D36" i="3"/>
  <c r="C36" i="3"/>
  <c r="B36" i="3"/>
  <c r="H35" i="3"/>
  <c r="G35" i="3"/>
  <c r="D35" i="3"/>
  <c r="C35" i="3"/>
  <c r="B35" i="3"/>
  <c r="H31" i="3"/>
  <c r="G31" i="3"/>
  <c r="D31" i="3"/>
  <c r="C31" i="3"/>
  <c r="B31" i="3"/>
  <c r="A31" i="3"/>
  <c r="H30" i="3"/>
  <c r="G30" i="3"/>
  <c r="D30" i="3"/>
  <c r="C30" i="3"/>
  <c r="B30" i="3"/>
  <c r="A30" i="3"/>
  <c r="H29" i="3"/>
  <c r="G29" i="3"/>
  <c r="D29" i="3"/>
  <c r="C29" i="3"/>
  <c r="B29" i="3"/>
  <c r="A29" i="3"/>
  <c r="H28" i="3"/>
  <c r="G28" i="3"/>
  <c r="D28" i="3"/>
  <c r="C28" i="3"/>
  <c r="B28" i="3"/>
  <c r="A28" i="3"/>
  <c r="H27" i="3"/>
  <c r="G27" i="3"/>
  <c r="D27" i="3"/>
  <c r="C27" i="3"/>
  <c r="B27" i="3"/>
  <c r="A27" i="3"/>
  <c r="H26" i="3"/>
  <c r="G26" i="3"/>
  <c r="D26" i="3"/>
  <c r="C26" i="3"/>
  <c r="B26" i="3"/>
  <c r="A26" i="3"/>
  <c r="H25" i="3"/>
  <c r="G25" i="3"/>
  <c r="D25" i="3"/>
  <c r="C25" i="3"/>
  <c r="B25" i="3"/>
  <c r="A25" i="3"/>
  <c r="H21" i="3"/>
  <c r="G21" i="3"/>
  <c r="D21" i="3"/>
  <c r="C21" i="3"/>
  <c r="B21" i="3"/>
  <c r="H20" i="3"/>
  <c r="G20" i="3"/>
  <c r="D20" i="3"/>
  <c r="C20" i="3"/>
  <c r="B20" i="3"/>
  <c r="H19" i="3"/>
  <c r="G19" i="3"/>
  <c r="D19" i="3"/>
  <c r="C19" i="3"/>
  <c r="B19" i="3"/>
  <c r="H18" i="3"/>
  <c r="G18" i="3"/>
  <c r="D18" i="3"/>
  <c r="C18" i="3"/>
  <c r="B18" i="3"/>
  <c r="H17" i="3"/>
  <c r="G17" i="3"/>
  <c r="D17" i="3"/>
  <c r="C17" i="3"/>
  <c r="B17" i="3"/>
  <c r="H16" i="3"/>
  <c r="G16" i="3"/>
  <c r="D16" i="3"/>
  <c r="C16" i="3"/>
  <c r="B16" i="3"/>
  <c r="H12" i="3"/>
  <c r="G12" i="3"/>
  <c r="F12" i="3"/>
  <c r="D12" i="3"/>
  <c r="C12" i="3"/>
  <c r="B12" i="3"/>
  <c r="H11" i="3"/>
  <c r="G11" i="3"/>
  <c r="F11" i="3"/>
  <c r="D11" i="3"/>
  <c r="C11" i="3"/>
  <c r="B11" i="3"/>
  <c r="H10" i="3"/>
  <c r="G10" i="3"/>
  <c r="F10" i="3"/>
  <c r="D10" i="3"/>
  <c r="C10" i="3"/>
  <c r="B10" i="3"/>
  <c r="H9" i="3"/>
  <c r="G9" i="3"/>
  <c r="F9" i="3"/>
  <c r="D9" i="3"/>
  <c r="C9" i="3"/>
  <c r="B9" i="3"/>
  <c r="H8" i="3"/>
  <c r="G8" i="3"/>
  <c r="F8" i="3"/>
  <c r="D8" i="3"/>
  <c r="C8" i="3"/>
  <c r="B8" i="3"/>
  <c r="H7" i="3"/>
  <c r="G7" i="3"/>
  <c r="F7" i="3"/>
  <c r="D7" i="3"/>
  <c r="C7" i="3"/>
  <c r="B7" i="3"/>
  <c r="H6" i="3"/>
  <c r="G6" i="3"/>
  <c r="F6" i="3"/>
  <c r="D6" i="3"/>
  <c r="C6" i="3"/>
  <c r="B6" i="3"/>
  <c r="H5" i="3"/>
  <c r="G5" i="3"/>
  <c r="F5" i="3"/>
  <c r="D5" i="3"/>
  <c r="C5" i="3"/>
  <c r="B5" i="3"/>
</calcChain>
</file>

<file path=xl/sharedStrings.xml><?xml version="1.0" encoding="utf-8"?>
<sst xmlns="http://schemas.openxmlformats.org/spreadsheetml/2006/main" count="360" uniqueCount="182">
  <si>
    <t>Film</t>
  </si>
  <si>
    <t>Genre</t>
  </si>
  <si>
    <t>Lead Studio</t>
  </si>
  <si>
    <t>Audience  score %</t>
  </si>
  <si>
    <t>Profitability</t>
  </si>
  <si>
    <t>Rotten Tomatoes %</t>
  </si>
  <si>
    <t>Worldwide Gross</t>
  </si>
  <si>
    <t>Year</t>
  </si>
  <si>
    <t>Mamma Mia!</t>
  </si>
  <si>
    <t>Comedy</t>
  </si>
  <si>
    <t>Universal</t>
  </si>
  <si>
    <t>WALL-E</t>
  </si>
  <si>
    <t>Animation</t>
  </si>
  <si>
    <t>Disney</t>
  </si>
  <si>
    <t>Sex and the City</t>
  </si>
  <si>
    <t>Warner Bros.</t>
  </si>
  <si>
    <t>Enchanted</t>
  </si>
  <si>
    <t>High School Musical 3: Senior Year</t>
  </si>
  <si>
    <t>What Happens in Vegas</t>
  </si>
  <si>
    <t>Fox</t>
  </si>
  <si>
    <t>Knocked Up</t>
  </si>
  <si>
    <t>27 Dresses</t>
  </si>
  <si>
    <t>P.S. I Love You</t>
  </si>
  <si>
    <t>Romance</t>
  </si>
  <si>
    <t>Independent</t>
  </si>
  <si>
    <t>Music and Lyrics</t>
  </si>
  <si>
    <t>Made of Honor</t>
  </si>
  <si>
    <t>Sony</t>
  </si>
  <si>
    <t>License to Wed</t>
  </si>
  <si>
    <t>Good Luck Chuck</t>
  </si>
  <si>
    <t>Lionsgate</t>
  </si>
  <si>
    <t>Tyler Perry's Why Did I get Married</t>
  </si>
  <si>
    <t>The Duchess</t>
  </si>
  <si>
    <t>Drama</t>
  </si>
  <si>
    <t>Paramount</t>
  </si>
  <si>
    <t>Nick and Norah's Infinite Playlist</t>
  </si>
  <si>
    <t>Across the Universe</t>
  </si>
  <si>
    <t>Waitress</t>
  </si>
  <si>
    <t>Penelope</t>
  </si>
  <si>
    <t>Summit</t>
  </si>
  <si>
    <t>Miss Pettigrew Lives for a Day</t>
  </si>
  <si>
    <t>The Heartbreak Kid</t>
  </si>
  <si>
    <t>No Reservations</t>
  </si>
  <si>
    <t>A Dangerous Method</t>
  </si>
  <si>
    <t>Twilight</t>
  </si>
  <si>
    <t>The Curious Case of Benjamin Button</t>
  </si>
  <si>
    <t>Fantasy</t>
  </si>
  <si>
    <t>Marley and Me</t>
  </si>
  <si>
    <t>Gnomeo and Juliet</t>
  </si>
  <si>
    <t>Four Christmases</t>
  </si>
  <si>
    <t>Water For Elephants</t>
  </si>
  <si>
    <t>20th Century Fox</t>
  </si>
  <si>
    <t>Something Borrowed</t>
  </si>
  <si>
    <t>One Day</t>
  </si>
  <si>
    <t>Zack and Miri Make a Porno</t>
  </si>
  <si>
    <t>The Weinstein Company</t>
  </si>
  <si>
    <t>Monte Carlo</t>
  </si>
  <si>
    <t>Fireproof</t>
  </si>
  <si>
    <t>Jane Eyre</t>
  </si>
  <si>
    <t>Just Wright</t>
  </si>
  <si>
    <t>My Week with Marilyn</t>
  </si>
  <si>
    <t>The Twilight Saga: New Moon</t>
  </si>
  <si>
    <t>Twilight: Breaking Dawn</t>
  </si>
  <si>
    <t>Tangled</t>
  </si>
  <si>
    <t>The Proposal</t>
  </si>
  <si>
    <t>Sex and the City 2</t>
  </si>
  <si>
    <t>It's Complicated</t>
  </si>
  <si>
    <t>Valentine's Day</t>
  </si>
  <si>
    <t>The Ugly Truth</t>
  </si>
  <si>
    <t>He's Just Not That Into You</t>
  </si>
  <si>
    <t>Midnight in Paris</t>
  </si>
  <si>
    <t>New Year's Eve</t>
  </si>
  <si>
    <t>Dear John</t>
  </si>
  <si>
    <t>Ghosts of Girlfriends Past</t>
  </si>
  <si>
    <t>The Time Traveler's Wife</t>
  </si>
  <si>
    <t>Life as We Know It</t>
  </si>
  <si>
    <t>Killers</t>
  </si>
  <si>
    <t>Action</t>
  </si>
  <si>
    <t>Letters to Juliet</t>
  </si>
  <si>
    <t>The Back-up Plan</t>
  </si>
  <si>
    <t>CBS</t>
  </si>
  <si>
    <t>(500) Days of Summer</t>
  </si>
  <si>
    <t>Remember Me</t>
  </si>
  <si>
    <t>Love &amp; Other Drugs</t>
  </si>
  <si>
    <t>She's Out of My League</t>
  </si>
  <si>
    <t>When in Rome</t>
  </si>
  <si>
    <t>Going the Distance</t>
  </si>
  <si>
    <t>Love Happens</t>
  </si>
  <si>
    <t>Leap Year</t>
  </si>
  <si>
    <t>The Invention of Lying</t>
  </si>
  <si>
    <t>A Serious Man</t>
  </si>
  <si>
    <t>You Will Meet a Tall Dark Stranger</t>
  </si>
  <si>
    <t>Our Family Wedding</t>
  </si>
  <si>
    <t>Over Her Dead Body</t>
  </si>
  <si>
    <t>New Line</t>
  </si>
  <si>
    <t>I Love You Phillip Morris</t>
  </si>
  <si>
    <t>Youth in Revolt</t>
  </si>
  <si>
    <t>Rachel Getting Married</t>
  </si>
  <si>
    <t>Beginners</t>
  </si>
  <si>
    <t>Not Easily Broken</t>
  </si>
  <si>
    <t>Waiting For Forever</t>
  </si>
  <si>
    <t>Data</t>
  </si>
  <si>
    <t>Contagem de Film</t>
  </si>
  <si>
    <t>Soma de Worldwide Gross</t>
  </si>
  <si>
    <t>Total Result</t>
  </si>
  <si>
    <t>ANÁLISE DE DADOS — FILMES 2007-2011  |  Asimov Jr Semana 7</t>
  </si>
  <si>
    <t>1. ESTATÍSTICAS GERAIS  —  SOMA | MÉDIA | MÁX | MÍN | MAIOR | MENOR | CONT.VALORES | CONTAR.VAZIO</t>
  </si>
  <si>
    <t>2. FUNÇÕES LÓGICAS  —  SE | OU | SEERRO</t>
  </si>
  <si>
    <t>Métrica</t>
  </si>
  <si>
    <t>Audience Score %</t>
  </si>
  <si>
    <t>Filme</t>
  </si>
  <si>
    <t>Popular? (SE)</t>
  </si>
  <si>
    <t>Aprovado? (SE+OU)</t>
  </si>
  <si>
    <t>SOMA</t>
  </si>
  <si>
    <t>MÉDIA</t>
  </si>
  <si>
    <t>MÁXIMO</t>
  </si>
  <si>
    <t>MÍNIMO</t>
  </si>
  <si>
    <t>MAIOR (2°)</t>
  </si>
  <si>
    <t>MENOR (2°)</t>
  </si>
  <si>
    <t>CONT.VALORES</t>
  </si>
  <si>
    <t>CONTAR.VAZIO</t>
  </si>
  <si>
    <t>3. FUNÇÕES CONDICIONAIS  —  CONT.SE | SOMASE | MÉDIASE</t>
  </si>
  <si>
    <t>4. PESQUISA  —  PROCV | CORRESP | ÍNDICE</t>
  </si>
  <si>
    <t>Gênero</t>
  </si>
  <si>
    <t>Qtd (CONT.SE)</t>
  </si>
  <si>
    <t>Gross Total (SOMASE)</t>
  </si>
  <si>
    <t>Média Audience % (MÉDIASE)</t>
  </si>
  <si>
    <t>Filme Pesquisado</t>
  </si>
  <si>
    <t>Gênero (PROCV)</t>
  </si>
  <si>
    <t>Posição (CORRESP)</t>
  </si>
  <si>
    <t>5. FUNÇÕES DE TEXTO  —  ARRUMAR | MAIÚSCULA | CONCATENAR | ESQUERDA | DIREITA | EXT.TEXTO</t>
  </si>
  <si>
    <t>6. FUNÇÕES DE DATA  —  HOJE | ANO | MÊS | DIA</t>
  </si>
  <si>
    <t>Original (ARRUMAR)</t>
  </si>
  <si>
    <t>Sigla (ESQ+DIR)</t>
  </si>
  <si>
    <t>Concatenado</t>
  </si>
  <si>
    <t>Trecho (EXT.TEXTO)</t>
  </si>
  <si>
    <t>Descrição</t>
  </si>
  <si>
    <t>Fórmula</t>
  </si>
  <si>
    <t>Resultado</t>
  </si>
  <si>
    <t>Data de hoje</t>
  </si>
  <si>
    <t>Ano atual</t>
  </si>
  <si>
    <t>Mês atual</t>
  </si>
  <si>
    <t>Dia atual</t>
  </si>
  <si>
    <t>Anos desde 2007</t>
  </si>
  <si>
    <t>Ano mais recente (base)</t>
  </si>
  <si>
    <t>Ano mais antigo (base)</t>
  </si>
  <si>
    <t>7. MÚLTIPLOS CRITÉRIOS  —  SOMASES | CONT.SES | MÉDIASES</t>
  </si>
  <si>
    <t>8. RANKING  —  ORDEM | ÍNDICE+CORRESP</t>
  </si>
  <si>
    <t>Gênero + Ano</t>
  </si>
  <si>
    <t>Qtd (CONT.SES)</t>
  </si>
  <si>
    <t>Gross (SOMASES)</t>
  </si>
  <si>
    <t>Méd. Audience (MÉDIASES)</t>
  </si>
  <si>
    <t>Top</t>
  </si>
  <si>
    <t>Filme (ÍNDICE+CORRESP)</t>
  </si>
  <si>
    <t>Rank Audience (ORDEM)</t>
  </si>
  <si>
    <t>Comedy 2008</t>
  </si>
  <si>
    <t>Comedy 2009</t>
  </si>
  <si>
    <t>Drama 2008</t>
  </si>
  <si>
    <t>Romance 2011</t>
  </si>
  <si>
    <t>Animation 2011</t>
  </si>
  <si>
    <t>Comedy 2010</t>
  </si>
  <si>
    <t>DASHBOARD — FILMES 2007-2011  |  Asimov Jr · Semana 7</t>
  </si>
  <si>
    <t>Total de Filmes</t>
  </si>
  <si>
    <t>Avg Audience Score</t>
  </si>
  <si>
    <t>Avg Rotten Tomatoes</t>
  </si>
  <si>
    <t>Maior Bilheteria ($)</t>
  </si>
  <si>
    <t>TOP 10 — Maior Bilheteria Mundial</t>
  </si>
  <si>
    <t>DISTRIBUICAO POR GENERO — Qtd | Audience | RT %</t>
  </si>
  <si>
    <t>#</t>
  </si>
  <si>
    <t>Gross</t>
  </si>
  <si>
    <t>Qtd</t>
  </si>
  <si>
    <t>Avg Audience</t>
  </si>
  <si>
    <t>Avg RT %</t>
  </si>
  <si>
    <t>FUNCOES DE TEXTO — ARRUMAR | CONCATENAR | ESQUERDA | DIREITA | EXT.TEXTO</t>
  </si>
  <si>
    <t>DATAS E LOGICA — HOJE | ANO | SE | OU | SEERRO</t>
  </si>
  <si>
    <t>Nome (MAIÚSCULA)</t>
  </si>
  <si>
    <t>Sigla</t>
  </si>
  <si>
    <t>Nome+Gênero</t>
  </si>
  <si>
    <t>Trecho</t>
  </si>
  <si>
    <t>Ano Lançamento</t>
  </si>
  <si>
    <t>Anos Atras</t>
  </si>
  <si>
    <t>Classificação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</si>
</sst>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409]#,##0.0"/>
    <numFmt numFmtId="165" formatCode="[$$-409]#,##0.00"/>
    <numFmt numFmtId="166" formatCode="0.0"/>
    <numFmt numFmtId="167" formatCode="mm/dd/yy"/>
    <numFmt numFmtId="168" formatCode="0.0\%"/>
  </numFmts>
  <fonts count="2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Bookman Old Style"/>
      <charset val="1"/>
    </font>
    <font>
      <b/>
      <sz val="11"/>
      <color theme="1"/>
      <name val="Bookman Old Style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sz val="8"/>
      <color rgb="FF0F3460"/>
      <name val="Courier New"/>
      <charset val="1"/>
    </font>
    <font>
      <b/>
      <sz val="16"/>
      <color rgb="FFFFFFFF"/>
      <name val="Arial"/>
      <charset val="1"/>
    </font>
    <font>
      <b/>
      <sz val="24"/>
      <color rgb="FF1A1A2E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b/>
      <sz val="9"/>
      <color rgb="FF3498DB"/>
      <name val="Arial"/>
      <charset val="1"/>
    </font>
    <font>
      <b/>
      <sz val="9"/>
      <color rgb="FF9B59B6"/>
      <name val="Arial"/>
      <charset val="1"/>
    </font>
    <font>
      <b/>
      <sz val="9"/>
      <color rgb="FFE67E22"/>
      <name val="Arial"/>
      <charset val="1"/>
    </font>
    <font>
      <b/>
      <sz val="9"/>
      <color rgb="FF1ABC9C"/>
      <name val="Arial"/>
      <charset val="1"/>
    </font>
    <font>
      <b/>
      <sz val="9"/>
      <color rgb="FFE74C3C"/>
      <name val="Arial"/>
      <charset val="1"/>
    </font>
    <font>
      <b/>
      <sz val="9"/>
      <color rgb="FFF39C12"/>
      <name val="Arial"/>
      <charset val="1"/>
    </font>
    <font>
      <i/>
      <sz val="8"/>
      <color rgb="FF888888"/>
      <name val="Arial"/>
      <charset val="1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8" tint="0.59987182226020086"/>
        <bgColor rgb="FFD0D7E8"/>
      </patternFill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F0F4FF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C0392B"/>
        <bgColor rgb="FFE74C3C"/>
      </patternFill>
    </fill>
    <fill>
      <patternFill patternType="solid">
        <fgColor rgb="FF1E8449"/>
        <bgColor rgb="FF008080"/>
      </patternFill>
    </fill>
    <fill>
      <patternFill patternType="solid">
        <fgColor rgb="FFE94560"/>
        <bgColor rgb="FFE74C3C"/>
      </patternFill>
    </fill>
    <fill>
      <patternFill patternType="solid">
        <fgColor rgb="FFF7F9FC"/>
        <bgColor rgb="FFF0F4FF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D0D7E8"/>
      </left>
      <right/>
      <top style="thin">
        <color rgb="FFD0D7E8"/>
      </top>
      <bottom style="thin">
        <color rgb="FFD0D7E8"/>
      </bottom>
      <diagonal/>
    </border>
    <border>
      <left style="thin">
        <color rgb="FFD0D7E8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thin">
        <color rgb="FFD0D7E8"/>
      </left>
      <right/>
      <top style="thin">
        <color rgb="FFD0D7E8"/>
      </top>
      <bottom/>
      <diagonal/>
    </border>
  </borders>
  <cellStyleXfs count="7">
    <xf numFmtId="0" fontId="0" fillId="0" borderId="0"/>
    <xf numFmtId="0" fontId="20" fillId="0" borderId="0">
      <alignment horizontal="left"/>
    </xf>
    <xf numFmtId="0" fontId="20" fillId="0" borderId="0"/>
    <xf numFmtId="0" fontId="20" fillId="0" borderId="0"/>
    <xf numFmtId="0" fontId="1" fillId="0" borderId="0"/>
    <xf numFmtId="0" fontId="1" fillId="0" borderId="0">
      <alignment horizontal="left"/>
    </xf>
    <xf numFmtId="0" fontId="20" fillId="0" borderId="0"/>
  </cellStyleXfs>
  <cellXfs count="69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0" fillId="0" borderId="0" xfId="0" applyAlignment="1"/>
    <xf numFmtId="0" fontId="20" fillId="0" borderId="3" xfId="2" applyBorder="1"/>
    <xf numFmtId="0" fontId="0" fillId="0" borderId="4" xfId="3" applyFont="1" applyBorder="1"/>
    <xf numFmtId="0" fontId="20" fillId="0" borderId="5" xfId="2" applyBorder="1"/>
    <xf numFmtId="0" fontId="0" fillId="0" borderId="6" xfId="3" applyFont="1" applyBorder="1"/>
    <xf numFmtId="0" fontId="0" fillId="0" borderId="7" xfId="1" applyFont="1" applyBorder="1">
      <alignment horizontal="left"/>
    </xf>
    <xf numFmtId="0" fontId="0" fillId="0" borderId="8" xfId="1" applyFont="1" applyBorder="1">
      <alignment horizontal="left"/>
    </xf>
    <xf numFmtId="0" fontId="0" fillId="0" borderId="9" xfId="1" applyFont="1" applyBorder="1">
      <alignment horizontal="left"/>
    </xf>
    <xf numFmtId="0" fontId="20" fillId="0" borderId="10" xfId="6" applyBorder="1"/>
    <xf numFmtId="165" fontId="20" fillId="0" borderId="11" xfId="6" applyNumberFormat="1" applyBorder="1"/>
    <xf numFmtId="165" fontId="20" fillId="0" borderId="10" xfId="6" applyNumberFormat="1" applyBorder="1"/>
    <xf numFmtId="0" fontId="20" fillId="0" borderId="11" xfId="6" applyBorder="1"/>
    <xf numFmtId="0" fontId="0" fillId="0" borderId="12" xfId="1" applyFont="1" applyBorder="1">
      <alignment horizontal="left"/>
    </xf>
    <xf numFmtId="0" fontId="20" fillId="0" borderId="13" xfId="6" applyBorder="1"/>
    <xf numFmtId="165" fontId="20" fillId="0" borderId="14" xfId="6" applyNumberFormat="1" applyBorder="1"/>
    <xf numFmtId="165" fontId="20" fillId="0" borderId="13" xfId="6" applyNumberFormat="1" applyBorder="1"/>
    <xf numFmtId="0" fontId="20" fillId="0" borderId="14" xfId="6" applyBorder="1"/>
    <xf numFmtId="165" fontId="20" fillId="0" borderId="7" xfId="6" applyNumberFormat="1" applyBorder="1"/>
    <xf numFmtId="0" fontId="20" fillId="0" borderId="8" xfId="6" applyBorder="1"/>
    <xf numFmtId="0" fontId="1" fillId="0" borderId="15" xfId="5" applyFont="1" applyBorder="1">
      <alignment horizontal="left"/>
    </xf>
    <xf numFmtId="165" fontId="1" fillId="0" borderId="16" xfId="4" applyNumberFormat="1" applyBorder="1"/>
    <xf numFmtId="0" fontId="1" fillId="0" borderId="17" xfId="4" applyBorder="1"/>
    <xf numFmtId="0" fontId="20" fillId="0" borderId="7" xfId="6" applyBorder="1"/>
    <xf numFmtId="165" fontId="20" fillId="0" borderId="8" xfId="6" applyNumberFormat="1" applyBorder="1"/>
    <xf numFmtId="0" fontId="1" fillId="0" borderId="16" xfId="4" applyBorder="1"/>
    <xf numFmtId="165" fontId="1" fillId="0" borderId="17" xfId="4" applyNumberFormat="1" applyBorder="1"/>
    <xf numFmtId="0" fontId="6" fillId="4" borderId="19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left" vertical="center"/>
    </xf>
    <xf numFmtId="4" fontId="7" fillId="5" borderId="19" xfId="0" applyNumberFormat="1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left" vertical="center"/>
    </xf>
    <xf numFmtId="4" fontId="7" fillId="6" borderId="19" xfId="0" applyNumberFormat="1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166" fontId="7" fillId="5" borderId="19" xfId="0" applyNumberFormat="1" applyFont="1" applyFill="1" applyBorder="1" applyAlignment="1">
      <alignment horizontal="center" vertical="center"/>
    </xf>
    <xf numFmtId="166" fontId="7" fillId="6" borderId="19" xfId="0" applyNumberFormat="1" applyFont="1" applyFill="1" applyBorder="1" applyAlignment="1">
      <alignment horizontal="center" vertical="center"/>
    </xf>
    <xf numFmtId="167" fontId="8" fillId="5" borderId="19" xfId="0" applyNumberFormat="1" applyFont="1" applyFill="1" applyBorder="1" applyAlignment="1">
      <alignment horizontal="center" vertical="center"/>
    </xf>
    <xf numFmtId="167" fontId="7" fillId="5" borderId="19" xfId="0" applyNumberFormat="1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left" vertical="center"/>
    </xf>
    <xf numFmtId="4" fontId="12" fillId="5" borderId="19" xfId="0" applyNumberFormat="1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left" vertical="center"/>
    </xf>
    <xf numFmtId="0" fontId="14" fillId="6" borderId="19" xfId="0" applyFont="1" applyFill="1" applyBorder="1" applyAlignment="1">
      <alignment horizontal="left" vertical="center"/>
    </xf>
    <xf numFmtId="0" fontId="15" fillId="5" borderId="19" xfId="0" applyFont="1" applyFill="1" applyBorder="1" applyAlignment="1">
      <alignment horizontal="left" vertical="center"/>
    </xf>
    <xf numFmtId="0" fontId="16" fillId="6" borderId="19" xfId="0" applyFont="1" applyFill="1" applyBorder="1" applyAlignment="1">
      <alignment horizontal="left" vertical="center"/>
    </xf>
    <xf numFmtId="0" fontId="17" fillId="5" borderId="19" xfId="0" applyFont="1" applyFill="1" applyBorder="1" applyAlignment="1">
      <alignment horizontal="left" vertical="center"/>
    </xf>
    <xf numFmtId="0" fontId="18" fillId="6" borderId="19" xfId="0" applyFont="1" applyFill="1" applyBorder="1" applyAlignment="1">
      <alignment horizontal="left" vertical="center"/>
    </xf>
    <xf numFmtId="0" fontId="5" fillId="3" borderId="1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1" fontId="10" fillId="5" borderId="20" xfId="0" applyNumberFormat="1" applyFont="1" applyFill="1" applyBorder="1" applyAlignment="1">
      <alignment horizontal="center" vertical="center"/>
    </xf>
    <xf numFmtId="168" fontId="10" fillId="5" borderId="20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 wrapText="1"/>
    </xf>
    <xf numFmtId="0" fontId="19" fillId="10" borderId="0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4" fontId="10" fillId="5" borderId="20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88888"/>
      <rgbColor rgb="FF9999FF"/>
      <rgbColor rgb="FFE94560"/>
      <rgbColor rgb="FFF7F9FC"/>
      <rgbColor rgb="FFF0F4FF"/>
      <rgbColor rgb="FF660066"/>
      <rgbColor rgb="FFE74C3C"/>
      <rgbColor rgb="FF0066CC"/>
      <rgbColor rgb="FFD0D7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BDD7EE"/>
      <rgbColor rgb="FFFF99CC"/>
      <rgbColor rgb="FFCC99FF"/>
      <rgbColor rgb="FFFFC7CE"/>
      <rgbColor rgb="FF3498DB"/>
      <rgbColor rgb="FF1ABC9C"/>
      <rgbColor rgb="FF99CC00"/>
      <rgbColor rgb="FFFFCC00"/>
      <rgbColor rgb="FFF39C12"/>
      <rgbColor rgb="FFE67E22"/>
      <rgbColor rgb="FF9B59B6"/>
      <rgbColor rgb="FF969696"/>
      <rgbColor rgb="FF0F3460"/>
      <rgbColor rgb="FF1E8449"/>
      <rgbColor rgb="FF003300"/>
      <rgbColor rgb="FF333300"/>
      <rgbColor rgb="FFC0392B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latorio-semana7-fina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e Data"/>
      <sheetName val="Resumo"/>
      <sheetName val="Analysis"/>
      <sheetName val="Dashboard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74" xr:uid="{00000000-000A-0000-FFFF-FFFF01000000}">
  <cacheSource type="worksheet">
    <worksheetSource ref="A1:H75" sheet="Movie Data"/>
  </cacheSource>
  <cacheFields count="8">
    <cacheField name="Film" numFmtId="0">
      <sharedItems count="74">
        <s v="(500) Days of Summer"/>
        <s v="27 Dresses"/>
        <s v="A Dangerous Method"/>
        <s v="A Serious Man"/>
        <s v="Across the Universe"/>
        <s v="Beginners"/>
        <s v="Dear John"/>
        <s v="Enchanted"/>
        <s v="Fireproof"/>
        <s v="Four Christmases"/>
        <s v="Ghosts of Girlfriends Past"/>
        <s v="Gnomeo and Juliet"/>
        <s v="Going the Distance"/>
        <s v="Good Luck Chuck"/>
        <s v="He's Just Not That Into You"/>
        <s v="High School Musical 3: Senior Year"/>
        <s v="I Love You Phillip Morris"/>
        <s v="It's Complicated"/>
        <s v="Jane Eyre"/>
        <s v="Just Wright"/>
        <s v="Killers"/>
        <s v="Knocked Up"/>
        <s v="Leap Year"/>
        <s v="Letters to Juliet"/>
        <s v="License to Wed"/>
        <s v="Life as We Know It"/>
        <s v="Love &amp; Other Drugs"/>
        <s v="Love Happens"/>
        <s v="Made of Honor"/>
        <s v="Mamma Mia!"/>
        <s v="Marley and Me"/>
        <s v="Midnight in Paris"/>
        <s v="Miss Pettigrew Lives for a Day"/>
        <s v="Monte Carlo"/>
        <s v="Music and Lyrics"/>
        <s v="My Week with Marilyn"/>
        <s v="New Year's Eve"/>
        <s v="Nick and Norah's Infinite Playlist"/>
        <s v="No Reservations"/>
        <s v="Not Easily Broken"/>
        <s v="One Day"/>
        <s v="Our Family Wedding"/>
        <s v="Over Her Dead Body"/>
        <s v="P.S. I Love You"/>
        <s v="Penelope"/>
        <s v="Rachel Getting Married"/>
        <s v="Remember Me"/>
        <s v="Sex and the City"/>
        <s v="Sex and the City 2"/>
        <s v="She's Out of My League"/>
        <s v="Something Borrowed"/>
        <s v="Tangled"/>
        <s v="The Back-up Plan"/>
        <s v="The Curious Case of Benjamin Button"/>
        <s v="The Duchess"/>
        <s v="The Heartbreak Kid"/>
        <s v="The Invention of Lying"/>
        <s v="The Proposal"/>
        <s v="The Time Traveler's Wife"/>
        <s v="The Twilight Saga: New Moon"/>
        <s v="The Ugly Truth"/>
        <s v="Twilight"/>
        <s v="Twilight: Breaking Dawn"/>
        <s v="Tyler Perry's Why Did I get Married"/>
        <s v="Valentine's Day"/>
        <s v="Waiting For Forever"/>
        <s v="Waitress"/>
        <s v="WALL-E"/>
        <s v="Water For Elephants"/>
        <s v="What Happens in Vegas"/>
        <s v="When in Rome"/>
        <s v="You Will Meet a Tall Dark Stranger"/>
        <s v="Youth in Revolt"/>
        <s v="Zack and Miri Make a Porno"/>
      </sharedItems>
    </cacheField>
    <cacheField name="Genre" numFmtId="0">
      <sharedItems count="6">
        <s v="Action"/>
        <s v="Animation"/>
        <s v="Comedy"/>
        <s v="Drama"/>
        <s v="Fantasy"/>
        <s v="Romance"/>
      </sharedItems>
    </cacheField>
    <cacheField name="Lead Studio" numFmtId="0">
      <sharedItems count="13">
        <s v="20th Century Fox"/>
        <s v="CBS"/>
        <s v="Disney"/>
        <s v="Fox"/>
        <s v="Independent"/>
        <s v="Lionsgate"/>
        <s v="New Line"/>
        <s v="Paramount"/>
        <s v="Sony"/>
        <s v="Summit"/>
        <s v="The Weinstein Company"/>
        <s v="Universal"/>
        <s v="Warner Bros."/>
      </sharedItems>
    </cacheField>
    <cacheField name="Audience  score %" numFmtId="0">
      <sharedItems containsSemiMixedTypes="0" containsString="0" containsNumber="1" containsInteger="1" minValue="15" maxValue="89" count="41">
        <n v="15"/>
        <n v="35"/>
        <n v="40"/>
        <n v="41"/>
        <n v="44"/>
        <n v="45"/>
        <n v="47"/>
        <n v="48"/>
        <n v="49"/>
        <n v="50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6"/>
        <n v="67"/>
        <n v="68"/>
        <n v="70"/>
        <n v="71"/>
        <n v="72"/>
        <n v="74"/>
        <n v="76"/>
        <n v="77"/>
        <n v="78"/>
        <n v="80"/>
        <n v="81"/>
        <n v="82"/>
        <n v="83"/>
        <n v="84"/>
        <n v="88"/>
        <n v="89"/>
      </sharedItems>
    </cacheField>
    <cacheField name="Profitability" numFmtId="0">
      <sharedItems containsSemiMixedTypes="0" containsString="0" containsNumber="1" minValue="5.0000000000000001E-3" maxValue="9234453864" count="74">
        <n v="5.0000000000000001E-3"/>
        <n v="0.25289489999999998"/>
        <n v="0.44864474999999998"/>
        <n v="0.65260317800000001"/>
        <n v="0.82579999999999998"/>
        <n v="1.0900000000000001"/>
        <n v="1.34"/>
        <n v="2.14"/>
        <n v="21.4"/>
        <n v="27.7"/>
        <n v="43.1"/>
        <n v="2071"/>
        <n v="8096"/>
        <n v="19832"/>
        <n v="20444"/>
        <n v="24405"/>
        <n v="28835"/>
        <n v="45988"/>
        <n v="66934"/>
        <n v="71536"/>
        <n v="78675"/>
        <n v="141964"/>
        <n v="349125"/>
        <n v="2022925"/>
        <n v="4471875"/>
        <n v="13140625"/>
        <n v="19802064"/>
        <n v="33527293"/>
        <n v="37241924"/>
        <n v="53436218"/>
        <n v="110897415"/>
        <n v="178394375"/>
        <n v="236768512"/>
        <n v="264906835"/>
        <n v="364741055"/>
        <n v="1018002703"/>
        <n v="1211818182"/>
        <n v="1245333333"/>
        <n v="1365692308"/>
        <n v="1382799733"/>
        <n v="1384166667"/>
        <n v="1715263158"/>
        <n v="1719514286"/>
        <n v="1747541667"/>
        <n v="1751351351"/>
        <n v="1797416667"/>
        <n v="1817666667"/>
        <n v="2004444444"/>
        <n v="2129444167"/>
        <n v="2202571429"/>
        <n v="2291313646"/>
        <n v="2530526316"/>
        <n v="2536428571"/>
        <n v="2598205128"/>
        <n v="2639333333"/>
        <n v="2642352941"/>
        <n v="2896019067"/>
        <n v="3081421053"/>
        <n v="3207850222"/>
        <n v="3307180357"/>
        <n v="3682733333"/>
        <n v="3746781818"/>
        <n v="4005737082"/>
        <n v="4184038462"/>
        <n v="4382857143"/>
        <n v="5103116833"/>
        <n v="5387972222"/>
        <n v="5402631579"/>
        <n v="6267647029"/>
        <n v="6383363636"/>
        <n v="6636401848"/>
        <n v="7221795791"/>
        <n v="8744705882"/>
        <n v="9234453864"/>
      </sharedItems>
    </cacheField>
    <cacheField name="Rotten Tomatoes %" numFmtId="0">
      <sharedItems containsSemiMixedTypes="0" containsString="0" containsNumber="1" containsInteger="1" minValue="3" maxValue="96" count="49">
        <n v="3"/>
        <n v="6"/>
        <n v="8"/>
        <n v="11"/>
        <n v="13"/>
        <n v="14"/>
        <n v="15"/>
        <n v="17"/>
        <n v="18"/>
        <n v="20"/>
        <n v="21"/>
        <n v="26"/>
        <n v="27"/>
        <n v="28"/>
        <n v="29"/>
        <n v="30"/>
        <n v="34"/>
        <n v="37"/>
        <n v="38"/>
        <n v="39"/>
        <n v="40"/>
        <n v="42"/>
        <n v="43"/>
        <n v="45"/>
        <n v="46"/>
        <n v="48"/>
        <n v="49"/>
        <n v="52"/>
        <n v="53"/>
        <n v="54"/>
        <n v="56"/>
        <n v="57"/>
        <n v="60"/>
        <n v="63"/>
        <n v="64"/>
        <n v="65"/>
        <n v="68"/>
        <n v="71"/>
        <n v="73"/>
        <n v="78"/>
        <n v="79"/>
        <n v="83"/>
        <n v="84"/>
        <n v="85"/>
        <n v="87"/>
        <n v="89"/>
        <n v="91"/>
        <n v="93"/>
        <n v="96"/>
      </sharedItems>
    </cacheField>
    <cacheField name="Worldwide Gross" numFmtId="0">
      <sharedItems containsSemiMixedTypes="0" containsString="0" containsNumber="1" minValue="2.5000000000000001E-2" maxValue="609473955" count="74">
        <n v="2.5000000000000001E-2"/>
        <n v="10.7"/>
        <n v="14.31"/>
        <n v="16.61"/>
        <n v="19.62"/>
        <n v="20.100000000000001"/>
        <n v="20.71"/>
        <n v="21.37"/>
        <n v="26.66"/>
        <n v="30.68"/>
        <n v="32.4"/>
        <n v="32.590000000000003"/>
        <n v="36.08"/>
        <n v="42.05"/>
        <n v="43.04"/>
        <n v="48.81"/>
        <n v="54.53"/>
        <n v="55.86"/>
        <n v="60.72"/>
        <n v="77.09"/>
        <n v="79.180000000000007"/>
        <n v="93.4"/>
        <n v="96.16"/>
        <n v="101.33"/>
        <n v="102.22"/>
        <n v="114.97"/>
        <n v="142.04"/>
        <n v="148.66"/>
        <n v="178.84"/>
        <n v="205.3"/>
        <n v="217.57"/>
        <n v="224.6"/>
        <n v="288.35000000000002"/>
        <n v="314.7"/>
        <n v="355.08"/>
        <n v="702.17"/>
        <n v="709.82"/>
        <n v="8258"/>
        <n v="21569"/>
        <n v="30147"/>
        <n v="33467"/>
        <n v="39664"/>
        <n v="41941"/>
        <n v="55241"/>
        <n v="60183"/>
        <n v="117094"/>
        <n v="161834"/>
        <n v="193967"/>
        <n v="206073"/>
        <n v="285431"/>
        <n v="376661"/>
        <n v="8972895"/>
        <n v="9260105"/>
        <n v="12776665"/>
        <n v="15173694"/>
        <n v="20741996"/>
        <n v="22179483"/>
        <n v="29367143"/>
        <n v="33527293"/>
        <n v="43305978"/>
        <n v="55862886"/>
        <n v="59192128"/>
        <n v="69307224"/>
        <n v="105962734"/>
        <n v="145896422"/>
        <n v="153093505"/>
        <n v="160308654"/>
        <n v="219001261"/>
        <n v="219367646"/>
        <n v="252044501"/>
        <n v="340487652"/>
        <n v="415253258"/>
        <n v="521283432"/>
        <n v="609473955"/>
      </sharedItems>
    </cacheField>
    <cacheField name="Year" numFmtId="0">
      <sharedItems containsSemiMixedTypes="0" containsString="0" containsNumber="1" containsInteger="1" minValue="2007" maxValue="2011" count="5">
        <n v="2007"/>
        <n v="2008"/>
        <n v="2009"/>
        <n v="2010"/>
        <n v="20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">
  <r>
    <x v="29"/>
    <x v="2"/>
    <x v="11"/>
    <x v="31"/>
    <x v="73"/>
    <x v="28"/>
    <x v="73"/>
    <x v="1"/>
  </r>
  <r>
    <x v="67"/>
    <x v="1"/>
    <x v="2"/>
    <x v="40"/>
    <x v="56"/>
    <x v="48"/>
    <x v="72"/>
    <x v="1"/>
  </r>
  <r>
    <x v="47"/>
    <x v="2"/>
    <x v="12"/>
    <x v="35"/>
    <x v="71"/>
    <x v="26"/>
    <x v="71"/>
    <x v="1"/>
  </r>
  <r>
    <x v="7"/>
    <x v="2"/>
    <x v="2"/>
    <x v="34"/>
    <x v="62"/>
    <x v="47"/>
    <x v="70"/>
    <x v="0"/>
  </r>
  <r>
    <x v="15"/>
    <x v="2"/>
    <x v="2"/>
    <x v="31"/>
    <x v="50"/>
    <x v="35"/>
    <x v="69"/>
    <x v="1"/>
  </r>
  <r>
    <x v="69"/>
    <x v="2"/>
    <x v="3"/>
    <x v="29"/>
    <x v="68"/>
    <x v="13"/>
    <x v="68"/>
    <x v="1"/>
  </r>
  <r>
    <x v="21"/>
    <x v="2"/>
    <x v="11"/>
    <x v="37"/>
    <x v="70"/>
    <x v="46"/>
    <x v="67"/>
    <x v="0"/>
  </r>
  <r>
    <x v="1"/>
    <x v="2"/>
    <x v="3"/>
    <x v="28"/>
    <x v="29"/>
    <x v="20"/>
    <x v="66"/>
    <x v="1"/>
  </r>
  <r>
    <x v="43"/>
    <x v="5"/>
    <x v="4"/>
    <x v="36"/>
    <x v="65"/>
    <x v="10"/>
    <x v="65"/>
    <x v="0"/>
  </r>
  <r>
    <x v="34"/>
    <x v="5"/>
    <x v="12"/>
    <x v="27"/>
    <x v="34"/>
    <x v="33"/>
    <x v="64"/>
    <x v="0"/>
  </r>
  <r>
    <x v="28"/>
    <x v="2"/>
    <x v="8"/>
    <x v="19"/>
    <x v="33"/>
    <x v="4"/>
    <x v="63"/>
    <x v="1"/>
  </r>
  <r>
    <x v="24"/>
    <x v="2"/>
    <x v="12"/>
    <x v="14"/>
    <x v="26"/>
    <x v="2"/>
    <x v="62"/>
    <x v="0"/>
  </r>
  <r>
    <x v="13"/>
    <x v="2"/>
    <x v="5"/>
    <x v="19"/>
    <x v="32"/>
    <x v="0"/>
    <x v="61"/>
    <x v="0"/>
  </r>
  <r>
    <x v="63"/>
    <x v="5"/>
    <x v="4"/>
    <x v="6"/>
    <x v="28"/>
    <x v="24"/>
    <x v="60"/>
    <x v="0"/>
  </r>
  <r>
    <x v="54"/>
    <x v="3"/>
    <x v="7"/>
    <x v="26"/>
    <x v="58"/>
    <x v="32"/>
    <x v="59"/>
    <x v="1"/>
  </r>
  <r>
    <x v="37"/>
    <x v="2"/>
    <x v="8"/>
    <x v="25"/>
    <x v="27"/>
    <x v="38"/>
    <x v="58"/>
    <x v="1"/>
  </r>
  <r>
    <x v="4"/>
    <x v="5"/>
    <x v="4"/>
    <x v="38"/>
    <x v="3"/>
    <x v="29"/>
    <x v="57"/>
    <x v="0"/>
  </r>
  <r>
    <x v="66"/>
    <x v="5"/>
    <x v="4"/>
    <x v="25"/>
    <x v="30"/>
    <x v="45"/>
    <x v="56"/>
    <x v="0"/>
  </r>
  <r>
    <x v="44"/>
    <x v="2"/>
    <x v="9"/>
    <x v="30"/>
    <x v="39"/>
    <x v="27"/>
    <x v="55"/>
    <x v="1"/>
  </r>
  <r>
    <x v="32"/>
    <x v="2"/>
    <x v="4"/>
    <x v="27"/>
    <x v="1"/>
    <x v="39"/>
    <x v="54"/>
    <x v="1"/>
  </r>
  <r>
    <x v="55"/>
    <x v="2"/>
    <x v="7"/>
    <x v="3"/>
    <x v="48"/>
    <x v="15"/>
    <x v="53"/>
    <x v="0"/>
  </r>
  <r>
    <x v="38"/>
    <x v="2"/>
    <x v="12"/>
    <x v="22"/>
    <x v="59"/>
    <x v="19"/>
    <x v="52"/>
    <x v="0"/>
  </r>
  <r>
    <x v="2"/>
    <x v="3"/>
    <x v="4"/>
    <x v="40"/>
    <x v="2"/>
    <x v="40"/>
    <x v="51"/>
    <x v="4"/>
  </r>
  <r>
    <x v="61"/>
    <x v="5"/>
    <x v="9"/>
    <x v="36"/>
    <x v="35"/>
    <x v="26"/>
    <x v="50"/>
    <x v="1"/>
  </r>
  <r>
    <x v="53"/>
    <x v="4"/>
    <x v="12"/>
    <x v="35"/>
    <x v="31"/>
    <x v="38"/>
    <x v="49"/>
    <x v="1"/>
  </r>
  <r>
    <x v="30"/>
    <x v="2"/>
    <x v="3"/>
    <x v="32"/>
    <x v="61"/>
    <x v="33"/>
    <x v="48"/>
    <x v="1"/>
  </r>
  <r>
    <x v="11"/>
    <x v="1"/>
    <x v="2"/>
    <x v="11"/>
    <x v="66"/>
    <x v="30"/>
    <x v="47"/>
    <x v="4"/>
  </r>
  <r>
    <x v="9"/>
    <x v="2"/>
    <x v="12"/>
    <x v="11"/>
    <x v="23"/>
    <x v="11"/>
    <x v="46"/>
    <x v="1"/>
  </r>
  <r>
    <x v="68"/>
    <x v="3"/>
    <x v="0"/>
    <x v="29"/>
    <x v="57"/>
    <x v="32"/>
    <x v="45"/>
    <x v="4"/>
  </r>
  <r>
    <x v="50"/>
    <x v="5"/>
    <x v="4"/>
    <x v="0"/>
    <x v="42"/>
    <x v="25"/>
    <x v="44"/>
    <x v="4"/>
  </r>
  <r>
    <x v="40"/>
    <x v="5"/>
    <x v="4"/>
    <x v="13"/>
    <x v="60"/>
    <x v="17"/>
    <x v="43"/>
    <x v="4"/>
  </r>
  <r>
    <x v="73"/>
    <x v="5"/>
    <x v="10"/>
    <x v="27"/>
    <x v="43"/>
    <x v="34"/>
    <x v="42"/>
    <x v="1"/>
  </r>
  <r>
    <x v="33"/>
    <x v="5"/>
    <x v="0"/>
    <x v="9"/>
    <x v="13"/>
    <x v="18"/>
    <x v="41"/>
    <x v="4"/>
  </r>
  <r>
    <x v="8"/>
    <x v="3"/>
    <x v="4"/>
    <x v="10"/>
    <x v="18"/>
    <x v="20"/>
    <x v="40"/>
    <x v="1"/>
  </r>
  <r>
    <x v="18"/>
    <x v="5"/>
    <x v="11"/>
    <x v="32"/>
    <x v="9"/>
    <x v="43"/>
    <x v="39"/>
    <x v="4"/>
  </r>
  <r>
    <x v="19"/>
    <x v="2"/>
    <x v="3"/>
    <x v="17"/>
    <x v="45"/>
    <x v="23"/>
    <x v="38"/>
    <x v="3"/>
  </r>
  <r>
    <x v="35"/>
    <x v="3"/>
    <x v="10"/>
    <x v="38"/>
    <x v="4"/>
    <x v="41"/>
    <x v="37"/>
    <x v="4"/>
  </r>
  <r>
    <x v="59"/>
    <x v="3"/>
    <x v="9"/>
    <x v="33"/>
    <x v="21"/>
    <x v="12"/>
    <x v="36"/>
    <x v="2"/>
  </r>
  <r>
    <x v="62"/>
    <x v="5"/>
    <x v="4"/>
    <x v="26"/>
    <x v="69"/>
    <x v="11"/>
    <x v="35"/>
    <x v="4"/>
  </r>
  <r>
    <x v="51"/>
    <x v="1"/>
    <x v="2"/>
    <x v="39"/>
    <x v="38"/>
    <x v="45"/>
    <x v="34"/>
    <x v="3"/>
  </r>
  <r>
    <x v="57"/>
    <x v="2"/>
    <x v="2"/>
    <x v="30"/>
    <x v="20"/>
    <x v="22"/>
    <x v="33"/>
    <x v="2"/>
  </r>
  <r>
    <x v="48"/>
    <x v="2"/>
    <x v="12"/>
    <x v="8"/>
    <x v="16"/>
    <x v="6"/>
    <x v="32"/>
    <x v="3"/>
  </r>
  <r>
    <x v="17"/>
    <x v="2"/>
    <x v="11"/>
    <x v="21"/>
    <x v="55"/>
    <x v="30"/>
    <x v="31"/>
    <x v="2"/>
  </r>
  <r>
    <x v="64"/>
    <x v="2"/>
    <x v="12"/>
    <x v="13"/>
    <x v="63"/>
    <x v="7"/>
    <x v="30"/>
    <x v="3"/>
  </r>
  <r>
    <x v="60"/>
    <x v="2"/>
    <x v="4"/>
    <x v="26"/>
    <x v="67"/>
    <x v="5"/>
    <x v="29"/>
    <x v="2"/>
  </r>
  <r>
    <x v="14"/>
    <x v="2"/>
    <x v="12"/>
    <x v="18"/>
    <x v="19"/>
    <x v="21"/>
    <x v="28"/>
    <x v="2"/>
  </r>
  <r>
    <x v="31"/>
    <x v="5"/>
    <x v="8"/>
    <x v="38"/>
    <x v="72"/>
    <x v="47"/>
    <x v="27"/>
    <x v="4"/>
  </r>
  <r>
    <x v="36"/>
    <x v="5"/>
    <x v="12"/>
    <x v="7"/>
    <x v="52"/>
    <x v="2"/>
    <x v="26"/>
    <x v="4"/>
  </r>
  <r>
    <x v="6"/>
    <x v="3"/>
    <x v="8"/>
    <x v="24"/>
    <x v="17"/>
    <x v="14"/>
    <x v="25"/>
    <x v="3"/>
  </r>
  <r>
    <x v="10"/>
    <x v="2"/>
    <x v="12"/>
    <x v="6"/>
    <x v="14"/>
    <x v="12"/>
    <x v="24"/>
    <x v="2"/>
  </r>
  <r>
    <x v="58"/>
    <x v="3"/>
    <x v="7"/>
    <x v="23"/>
    <x v="53"/>
    <x v="18"/>
    <x v="23"/>
    <x v="2"/>
  </r>
  <r>
    <x v="25"/>
    <x v="2"/>
    <x v="4"/>
    <x v="20"/>
    <x v="51"/>
    <x v="13"/>
    <x v="22"/>
    <x v="3"/>
  </r>
  <r>
    <x v="20"/>
    <x v="0"/>
    <x v="5"/>
    <x v="5"/>
    <x v="37"/>
    <x v="3"/>
    <x v="21"/>
    <x v="3"/>
  </r>
  <r>
    <x v="23"/>
    <x v="2"/>
    <x v="9"/>
    <x v="20"/>
    <x v="54"/>
    <x v="20"/>
    <x v="20"/>
    <x v="3"/>
  </r>
  <r>
    <x v="52"/>
    <x v="2"/>
    <x v="1"/>
    <x v="6"/>
    <x v="49"/>
    <x v="9"/>
    <x v="19"/>
    <x v="3"/>
  </r>
  <r>
    <x v="0"/>
    <x v="2"/>
    <x v="3"/>
    <x v="35"/>
    <x v="12"/>
    <x v="44"/>
    <x v="18"/>
    <x v="2"/>
  </r>
  <r>
    <x v="46"/>
    <x v="3"/>
    <x v="9"/>
    <x v="27"/>
    <x v="22"/>
    <x v="13"/>
    <x v="17"/>
    <x v="3"/>
  </r>
  <r>
    <x v="26"/>
    <x v="2"/>
    <x v="3"/>
    <x v="14"/>
    <x v="46"/>
    <x v="25"/>
    <x v="16"/>
    <x v="3"/>
  </r>
  <r>
    <x v="49"/>
    <x v="2"/>
    <x v="7"/>
    <x v="18"/>
    <x v="15"/>
    <x v="31"/>
    <x v="15"/>
    <x v="3"/>
  </r>
  <r>
    <x v="70"/>
    <x v="2"/>
    <x v="2"/>
    <x v="4"/>
    <x v="10"/>
    <x v="6"/>
    <x v="14"/>
    <x v="3"/>
  </r>
  <r>
    <x v="12"/>
    <x v="2"/>
    <x v="12"/>
    <x v="15"/>
    <x v="25"/>
    <x v="28"/>
    <x v="13"/>
    <x v="3"/>
  </r>
  <r>
    <x v="27"/>
    <x v="3"/>
    <x v="11"/>
    <x v="2"/>
    <x v="47"/>
    <x v="8"/>
    <x v="12"/>
    <x v="2"/>
  </r>
  <r>
    <x v="22"/>
    <x v="2"/>
    <x v="11"/>
    <x v="8"/>
    <x v="41"/>
    <x v="10"/>
    <x v="11"/>
    <x v="3"/>
  </r>
  <r>
    <x v="56"/>
    <x v="2"/>
    <x v="12"/>
    <x v="6"/>
    <x v="44"/>
    <x v="30"/>
    <x v="10"/>
    <x v="2"/>
  </r>
  <r>
    <x v="3"/>
    <x v="3"/>
    <x v="11"/>
    <x v="22"/>
    <x v="64"/>
    <x v="45"/>
    <x v="9"/>
    <x v="2"/>
  </r>
  <r>
    <x v="71"/>
    <x v="2"/>
    <x v="4"/>
    <x v="1"/>
    <x v="36"/>
    <x v="22"/>
    <x v="8"/>
    <x v="3"/>
  </r>
  <r>
    <x v="41"/>
    <x v="2"/>
    <x v="4"/>
    <x v="8"/>
    <x v="8"/>
    <x v="5"/>
    <x v="7"/>
    <x v="3"/>
  </r>
  <r>
    <x v="42"/>
    <x v="2"/>
    <x v="6"/>
    <x v="6"/>
    <x v="11"/>
    <x v="6"/>
    <x v="6"/>
    <x v="1"/>
  </r>
  <r>
    <x v="16"/>
    <x v="2"/>
    <x v="4"/>
    <x v="16"/>
    <x v="6"/>
    <x v="37"/>
    <x v="5"/>
    <x v="3"/>
  </r>
  <r>
    <x v="72"/>
    <x v="2"/>
    <x v="10"/>
    <x v="11"/>
    <x v="5"/>
    <x v="36"/>
    <x v="4"/>
    <x v="3"/>
  </r>
  <r>
    <x v="45"/>
    <x v="3"/>
    <x v="4"/>
    <x v="19"/>
    <x v="40"/>
    <x v="43"/>
    <x v="3"/>
    <x v="1"/>
  </r>
  <r>
    <x v="5"/>
    <x v="2"/>
    <x v="4"/>
    <x v="34"/>
    <x v="24"/>
    <x v="42"/>
    <x v="2"/>
    <x v="4"/>
  </r>
  <r>
    <x v="39"/>
    <x v="3"/>
    <x v="4"/>
    <x v="24"/>
    <x v="7"/>
    <x v="16"/>
    <x v="1"/>
    <x v="2"/>
  </r>
  <r>
    <x v="65"/>
    <x v="5"/>
    <x v="4"/>
    <x v="12"/>
    <x v="0"/>
    <x v="1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ela dinâmica2" cacheId="338" applyNumberFormats="0" applyBorderFormats="0" applyFontFormats="0" applyPatternFormats="0" applyAlignmentFormats="0" applyWidthHeightFormats="0" dataCaption="Values" itemPrintTitles="1" indent="0" compact="0" compactData="0">
  <location ref="A1:C16" firstHeaderRow="1" firstDataRow="2" firstDataCol="1"/>
  <pivotFields count="8">
    <pivotField dataField="1"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colFields count="1">
    <field x="-2"/>
  </colFields>
  <dataFields count="2">
    <dataField name="Contagem de Film" fld="0" subtotal="count" baseField="0" baseItem="0"/>
    <dataField name="Soma de Worldwide Gross" fld="6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3" cacheId="338" applyNumberFormats="0" applyBorderFormats="0" applyFontFormats="0" applyPatternFormats="0" applyAlignmentFormats="0" applyWidthHeightFormats="0" dataCaption="Values" itemPrintTitles="1" indent="0" compact="0" compactData="0">
  <location ref="E1:G9" firstHeaderRow="1" firstDataRow="2" firstDataCol="1"/>
  <pivotFields count="8">
    <pivotField dataField="1"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colFields count="1">
    <field x="-2"/>
  </colFields>
  <dataFields count="2">
    <dataField name="Soma de Worldwide Gross" fld="6" baseField="0" baseItem="0" numFmtId="165"/>
    <dataField name="Contagem de Film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1:H75" totalsRowShown="0">
  <autoFilter ref="A1:H75" xr:uid="{00000000-0009-0000-0100-000001000000}"/>
  <tableColumns count="8">
    <tableColumn id="1" xr3:uid="{00000000-0010-0000-0000-000001000000}" name="Film"/>
    <tableColumn id="2" xr3:uid="{00000000-0010-0000-0000-000002000000}" name="Genre"/>
    <tableColumn id="3" xr3:uid="{00000000-0010-0000-0000-000003000000}" name="Lead Studio"/>
    <tableColumn id="4" xr3:uid="{00000000-0010-0000-0000-000004000000}" name="Audience  score %"/>
    <tableColumn id="5" xr3:uid="{00000000-0010-0000-0000-000005000000}" name="Profitability"/>
    <tableColumn id="6" xr3:uid="{00000000-0010-0000-0000-000006000000}" name="Rotten Tomatoes %"/>
    <tableColumn id="7" xr3:uid="{00000000-0010-0000-0000-000007000000}" name="Worldwide Gross"/>
    <tableColumn id="8" xr3:uid="{00000000-0010-0000-0000-000008000000}" name="Yea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zoomScaleNormal="100" workbookViewId="0">
      <pane ySplit="1" topLeftCell="A2" activePane="bottomLeft" state="frozen"/>
      <selection pane="bottomLeft" activeCell="A4" sqref="A4"/>
    </sheetView>
  </sheetViews>
  <sheetFormatPr defaultColWidth="9.140625" defaultRowHeight="15"/>
  <cols>
    <col min="1" max="1" width="40" style="1" customWidth="1"/>
    <col min="2" max="2" width="19.42578125" style="1" customWidth="1"/>
    <col min="3" max="3" width="26.5703125" style="1" customWidth="1"/>
    <col min="4" max="4" width="23.85546875" style="1" customWidth="1"/>
    <col min="5" max="5" width="32.42578125" style="2" customWidth="1"/>
    <col min="6" max="6" width="25.42578125" style="1" customWidth="1"/>
    <col min="7" max="7" width="22.5703125" style="2" customWidth="1"/>
    <col min="8" max="8" width="21.28515625" style="1" customWidth="1"/>
    <col min="9" max="16384" width="9.140625" style="1"/>
  </cols>
  <sheetData>
    <row r="1" spans="1:8" s="5" customFormat="1" ht="28.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5.75" customHeight="1">
      <c r="A2" s="1" t="s">
        <v>8</v>
      </c>
      <c r="B2" s="1" t="s">
        <v>9</v>
      </c>
      <c r="C2" s="1" t="s">
        <v>10</v>
      </c>
      <c r="D2" s="1">
        <v>76</v>
      </c>
      <c r="E2" s="6">
        <v>9234453864</v>
      </c>
      <c r="F2" s="1">
        <v>53</v>
      </c>
      <c r="G2" s="7">
        <v>609473955</v>
      </c>
      <c r="H2" s="1">
        <v>2008</v>
      </c>
    </row>
    <row r="3" spans="1:8" ht="15.75" customHeight="1">
      <c r="A3" s="1" t="s">
        <v>11</v>
      </c>
      <c r="B3" s="1" t="s">
        <v>12</v>
      </c>
      <c r="C3" s="1" t="s">
        <v>13</v>
      </c>
      <c r="D3" s="1">
        <v>89</v>
      </c>
      <c r="E3" s="6">
        <v>2896019067</v>
      </c>
      <c r="F3" s="1">
        <v>96</v>
      </c>
      <c r="G3" s="7">
        <v>521283432</v>
      </c>
      <c r="H3" s="1">
        <v>2008</v>
      </c>
    </row>
    <row r="4" spans="1:8" ht="15.75" customHeight="1">
      <c r="A4" s="1" t="s">
        <v>14</v>
      </c>
      <c r="B4" s="1" t="s">
        <v>9</v>
      </c>
      <c r="C4" s="1" t="s">
        <v>15</v>
      </c>
      <c r="D4" s="1">
        <v>81</v>
      </c>
      <c r="E4" s="6">
        <v>7221795791</v>
      </c>
      <c r="F4" s="1">
        <v>49</v>
      </c>
      <c r="G4" s="7">
        <v>415253258</v>
      </c>
      <c r="H4" s="1">
        <v>2008</v>
      </c>
    </row>
    <row r="5" spans="1:8" ht="15.75" customHeight="1">
      <c r="A5" s="1" t="s">
        <v>16</v>
      </c>
      <c r="B5" s="1" t="s">
        <v>9</v>
      </c>
      <c r="C5" s="1" t="s">
        <v>13</v>
      </c>
      <c r="D5" s="1">
        <v>80</v>
      </c>
      <c r="E5" s="6">
        <v>4005737082</v>
      </c>
      <c r="F5" s="1">
        <v>93</v>
      </c>
      <c r="G5" s="7">
        <v>340487652</v>
      </c>
      <c r="H5" s="1">
        <v>2007</v>
      </c>
    </row>
    <row r="6" spans="1:8" ht="15.75" customHeight="1">
      <c r="A6" s="1" t="s">
        <v>17</v>
      </c>
      <c r="B6" s="1" t="s">
        <v>9</v>
      </c>
      <c r="C6" s="1" t="s">
        <v>13</v>
      </c>
      <c r="D6" s="1">
        <v>76</v>
      </c>
      <c r="E6" s="6">
        <v>2291313646</v>
      </c>
      <c r="F6" s="1">
        <v>65</v>
      </c>
      <c r="G6" s="7">
        <v>252044501</v>
      </c>
      <c r="H6" s="1">
        <v>2008</v>
      </c>
    </row>
    <row r="7" spans="1:8" ht="15.75" customHeight="1">
      <c r="A7" s="1" t="s">
        <v>18</v>
      </c>
      <c r="B7" s="1" t="s">
        <v>9</v>
      </c>
      <c r="C7" s="1" t="s">
        <v>19</v>
      </c>
      <c r="D7" s="1">
        <v>72</v>
      </c>
      <c r="E7" s="6">
        <v>6267647029</v>
      </c>
      <c r="F7" s="1">
        <v>28</v>
      </c>
      <c r="G7" s="7">
        <v>219367646</v>
      </c>
      <c r="H7" s="1">
        <v>2008</v>
      </c>
    </row>
    <row r="8" spans="1:8" ht="15.75" customHeight="1">
      <c r="A8" s="1" t="s">
        <v>20</v>
      </c>
      <c r="B8" s="1" t="s">
        <v>9</v>
      </c>
      <c r="C8" s="1" t="s">
        <v>10</v>
      </c>
      <c r="D8" s="1">
        <v>83</v>
      </c>
      <c r="E8" s="6">
        <v>6636401848</v>
      </c>
      <c r="F8" s="1">
        <v>91</v>
      </c>
      <c r="G8" s="7">
        <v>219001261</v>
      </c>
      <c r="H8" s="1">
        <v>2007</v>
      </c>
    </row>
    <row r="9" spans="1:8" ht="15.75" customHeight="1">
      <c r="A9" s="1" t="s">
        <v>21</v>
      </c>
      <c r="B9" s="1" t="s">
        <v>9</v>
      </c>
      <c r="C9" s="1" t="s">
        <v>19</v>
      </c>
      <c r="D9" s="1">
        <v>71</v>
      </c>
      <c r="E9" s="6">
        <v>53436218</v>
      </c>
      <c r="F9" s="1">
        <v>40</v>
      </c>
      <c r="G9" s="7">
        <v>160308654</v>
      </c>
      <c r="H9" s="1">
        <v>2008</v>
      </c>
    </row>
    <row r="10" spans="1:8" ht="15.75" customHeight="1">
      <c r="A10" s="1" t="s">
        <v>22</v>
      </c>
      <c r="B10" s="1" t="s">
        <v>23</v>
      </c>
      <c r="C10" s="1" t="s">
        <v>24</v>
      </c>
      <c r="D10" s="1">
        <v>82</v>
      </c>
      <c r="E10" s="6">
        <v>5103116833</v>
      </c>
      <c r="F10" s="1">
        <v>21</v>
      </c>
      <c r="G10" s="7">
        <v>153093505</v>
      </c>
      <c r="H10" s="1">
        <v>2007</v>
      </c>
    </row>
    <row r="11" spans="1:8" ht="15.75" customHeight="1">
      <c r="A11" s="1" t="s">
        <v>25</v>
      </c>
      <c r="B11" s="1" t="s">
        <v>23</v>
      </c>
      <c r="C11" s="1" t="s">
        <v>15</v>
      </c>
      <c r="D11" s="1">
        <v>70</v>
      </c>
      <c r="E11" s="6">
        <v>364741055</v>
      </c>
      <c r="F11" s="1">
        <v>63</v>
      </c>
      <c r="G11" s="7">
        <v>145896422</v>
      </c>
      <c r="H11" s="1">
        <v>2007</v>
      </c>
    </row>
    <row r="12" spans="1:8" ht="15.75" customHeight="1">
      <c r="A12" s="1" t="s">
        <v>26</v>
      </c>
      <c r="B12" s="1" t="s">
        <v>9</v>
      </c>
      <c r="C12" s="1" t="s">
        <v>27</v>
      </c>
      <c r="D12" s="1">
        <v>61</v>
      </c>
      <c r="E12" s="6">
        <v>264906835</v>
      </c>
      <c r="F12" s="1">
        <v>13</v>
      </c>
      <c r="G12" s="7">
        <v>105962734</v>
      </c>
      <c r="H12" s="1">
        <v>2008</v>
      </c>
    </row>
    <row r="13" spans="1:8" ht="15.75" customHeight="1">
      <c r="A13" s="1" t="s">
        <v>28</v>
      </c>
      <c r="B13" s="1" t="s">
        <v>9</v>
      </c>
      <c r="C13" s="1" t="s">
        <v>15</v>
      </c>
      <c r="D13" s="1">
        <v>55</v>
      </c>
      <c r="E13" s="6">
        <v>19802064</v>
      </c>
      <c r="F13" s="1">
        <v>8</v>
      </c>
      <c r="G13" s="7">
        <v>69307224</v>
      </c>
      <c r="H13" s="1">
        <v>2007</v>
      </c>
    </row>
    <row r="14" spans="1:8" ht="15.75" customHeight="1">
      <c r="A14" s="1" t="s">
        <v>29</v>
      </c>
      <c r="B14" s="1" t="s">
        <v>9</v>
      </c>
      <c r="C14" s="1" t="s">
        <v>30</v>
      </c>
      <c r="D14" s="1">
        <v>61</v>
      </c>
      <c r="E14" s="6">
        <v>236768512</v>
      </c>
      <c r="F14" s="1">
        <v>3</v>
      </c>
      <c r="G14" s="7">
        <v>59192128</v>
      </c>
      <c r="H14" s="1">
        <v>2007</v>
      </c>
    </row>
    <row r="15" spans="1:8" ht="15.75" customHeight="1">
      <c r="A15" s="1" t="s">
        <v>31</v>
      </c>
      <c r="B15" s="1" t="s">
        <v>23</v>
      </c>
      <c r="C15" s="1" t="s">
        <v>24</v>
      </c>
      <c r="D15" s="1">
        <v>47</v>
      </c>
      <c r="E15" s="6">
        <v>37241924</v>
      </c>
      <c r="F15" s="1">
        <v>46</v>
      </c>
      <c r="G15" s="7">
        <v>55862886</v>
      </c>
      <c r="H15" s="1">
        <v>2007</v>
      </c>
    </row>
    <row r="16" spans="1:8" ht="15.75" customHeight="1">
      <c r="A16" s="1" t="s">
        <v>32</v>
      </c>
      <c r="B16" s="1" t="s">
        <v>33</v>
      </c>
      <c r="C16" s="1" t="s">
        <v>34</v>
      </c>
      <c r="D16" s="1">
        <v>68</v>
      </c>
      <c r="E16" s="6">
        <v>3207850222</v>
      </c>
      <c r="F16" s="1">
        <v>60</v>
      </c>
      <c r="G16" s="7">
        <v>43305978</v>
      </c>
      <c r="H16" s="1">
        <v>2008</v>
      </c>
    </row>
    <row r="17" spans="1:8" ht="15.75" customHeight="1">
      <c r="A17" s="1" t="s">
        <v>35</v>
      </c>
      <c r="B17" s="1" t="s">
        <v>9</v>
      </c>
      <c r="C17" s="1" t="s">
        <v>27</v>
      </c>
      <c r="D17" s="1">
        <v>67</v>
      </c>
      <c r="E17" s="6">
        <v>33527293</v>
      </c>
      <c r="F17" s="1">
        <v>73</v>
      </c>
      <c r="G17" s="7">
        <v>33527293</v>
      </c>
      <c r="H17" s="1">
        <v>2008</v>
      </c>
    </row>
    <row r="18" spans="1:8" ht="15.75" customHeight="1">
      <c r="A18" s="1" t="s">
        <v>36</v>
      </c>
      <c r="B18" s="1" t="s">
        <v>23</v>
      </c>
      <c r="C18" s="1" t="s">
        <v>24</v>
      </c>
      <c r="D18" s="1">
        <v>84</v>
      </c>
      <c r="E18" s="6">
        <v>0.65260317800000001</v>
      </c>
      <c r="F18" s="1">
        <v>54</v>
      </c>
      <c r="G18" s="7">
        <v>29367143</v>
      </c>
      <c r="H18" s="1">
        <v>2007</v>
      </c>
    </row>
    <row r="19" spans="1:8" ht="15.75" customHeight="1">
      <c r="A19" s="1" t="s">
        <v>37</v>
      </c>
      <c r="B19" s="1" t="s">
        <v>23</v>
      </c>
      <c r="C19" s="1" t="s">
        <v>24</v>
      </c>
      <c r="D19" s="1">
        <v>67</v>
      </c>
      <c r="E19" s="6">
        <v>110897415</v>
      </c>
      <c r="F19" s="1">
        <v>89</v>
      </c>
      <c r="G19" s="7">
        <v>22179483</v>
      </c>
      <c r="H19" s="1">
        <v>2007</v>
      </c>
    </row>
    <row r="20" spans="1:8" ht="15.75" customHeight="1">
      <c r="A20" s="1" t="s">
        <v>38</v>
      </c>
      <c r="B20" s="1" t="s">
        <v>9</v>
      </c>
      <c r="C20" s="1" t="s">
        <v>39</v>
      </c>
      <c r="D20" s="1">
        <v>74</v>
      </c>
      <c r="E20" s="6">
        <v>1382799733</v>
      </c>
      <c r="F20" s="1">
        <v>52</v>
      </c>
      <c r="G20" s="7">
        <v>20741996</v>
      </c>
      <c r="H20" s="1">
        <v>2008</v>
      </c>
    </row>
    <row r="21" spans="1:8" ht="15.75" customHeight="1">
      <c r="A21" s="1" t="s">
        <v>40</v>
      </c>
      <c r="B21" s="1" t="s">
        <v>9</v>
      </c>
      <c r="C21" s="1" t="s">
        <v>24</v>
      </c>
      <c r="D21" s="1">
        <v>70</v>
      </c>
      <c r="E21" s="6">
        <v>0.25289489999999998</v>
      </c>
      <c r="F21" s="1">
        <v>78</v>
      </c>
      <c r="G21" s="7">
        <v>15173694</v>
      </c>
      <c r="H21" s="1">
        <v>2008</v>
      </c>
    </row>
    <row r="22" spans="1:8" ht="15.75" customHeight="1">
      <c r="A22" s="1" t="s">
        <v>41</v>
      </c>
      <c r="B22" s="1" t="s">
        <v>9</v>
      </c>
      <c r="C22" s="1" t="s">
        <v>34</v>
      </c>
      <c r="D22" s="1">
        <v>41</v>
      </c>
      <c r="E22" s="6">
        <v>2129444167</v>
      </c>
      <c r="F22" s="1">
        <v>30</v>
      </c>
      <c r="G22" s="7">
        <v>12776665</v>
      </c>
      <c r="H22" s="1">
        <v>2007</v>
      </c>
    </row>
    <row r="23" spans="1:8" ht="15.75" customHeight="1">
      <c r="A23" s="1" t="s">
        <v>42</v>
      </c>
      <c r="B23" s="1" t="s">
        <v>9</v>
      </c>
      <c r="C23" s="1" t="s">
        <v>15</v>
      </c>
      <c r="D23" s="1">
        <v>64</v>
      </c>
      <c r="E23" s="6">
        <v>3307180357</v>
      </c>
      <c r="F23" s="1">
        <v>39</v>
      </c>
      <c r="G23" s="7">
        <v>9260105</v>
      </c>
      <c r="H23" s="1">
        <v>2007</v>
      </c>
    </row>
    <row r="24" spans="1:8" ht="15.75" customHeight="1">
      <c r="A24" s="1" t="s">
        <v>43</v>
      </c>
      <c r="B24" s="1" t="s">
        <v>33</v>
      </c>
      <c r="C24" s="1" t="s">
        <v>24</v>
      </c>
      <c r="D24" s="1">
        <v>89</v>
      </c>
      <c r="E24" s="6">
        <v>0.44864474999999998</v>
      </c>
      <c r="F24" s="1">
        <v>79</v>
      </c>
      <c r="G24" s="7">
        <v>8972895</v>
      </c>
      <c r="H24" s="1">
        <v>2011</v>
      </c>
    </row>
    <row r="25" spans="1:8" ht="15.75" customHeight="1">
      <c r="A25" s="1" t="s">
        <v>44</v>
      </c>
      <c r="B25" s="1" t="s">
        <v>23</v>
      </c>
      <c r="C25" s="1" t="s">
        <v>39</v>
      </c>
      <c r="D25" s="1">
        <v>82</v>
      </c>
      <c r="E25" s="6">
        <v>1018002703</v>
      </c>
      <c r="F25" s="1">
        <v>49</v>
      </c>
      <c r="G25" s="7">
        <v>376661</v>
      </c>
      <c r="H25" s="1">
        <v>2008</v>
      </c>
    </row>
    <row r="26" spans="1:8" ht="15.75" customHeight="1">
      <c r="A26" s="1" t="s">
        <v>45</v>
      </c>
      <c r="B26" s="1" t="s">
        <v>46</v>
      </c>
      <c r="C26" s="1" t="s">
        <v>15</v>
      </c>
      <c r="D26" s="1">
        <v>81</v>
      </c>
      <c r="E26" s="6">
        <v>178394375</v>
      </c>
      <c r="F26" s="1">
        <v>73</v>
      </c>
      <c r="G26" s="7">
        <v>285431</v>
      </c>
      <c r="H26" s="1">
        <v>2008</v>
      </c>
    </row>
    <row r="27" spans="1:8" ht="15.75" customHeight="1">
      <c r="A27" s="1" t="s">
        <v>47</v>
      </c>
      <c r="B27" s="1" t="s">
        <v>9</v>
      </c>
      <c r="C27" s="1" t="s">
        <v>19</v>
      </c>
      <c r="D27" s="1">
        <v>77</v>
      </c>
      <c r="E27" s="6">
        <v>3746781818</v>
      </c>
      <c r="F27" s="1">
        <v>63</v>
      </c>
      <c r="G27" s="7">
        <v>206073</v>
      </c>
      <c r="H27" s="1">
        <v>2008</v>
      </c>
    </row>
    <row r="28" spans="1:8" ht="15.75" customHeight="1">
      <c r="A28" s="1" t="s">
        <v>48</v>
      </c>
      <c r="B28" s="1" t="s">
        <v>12</v>
      </c>
      <c r="C28" s="1" t="s">
        <v>13</v>
      </c>
      <c r="D28" s="1">
        <v>52</v>
      </c>
      <c r="E28" s="6">
        <v>5387972222</v>
      </c>
      <c r="F28" s="1">
        <v>56</v>
      </c>
      <c r="G28" s="7">
        <v>193967</v>
      </c>
      <c r="H28" s="1">
        <v>2011</v>
      </c>
    </row>
    <row r="29" spans="1:8" ht="15.75" customHeight="1">
      <c r="A29" s="1" t="s">
        <v>49</v>
      </c>
      <c r="B29" s="1" t="s">
        <v>9</v>
      </c>
      <c r="C29" s="1" t="s">
        <v>15</v>
      </c>
      <c r="D29" s="1">
        <v>52</v>
      </c>
      <c r="E29" s="6">
        <v>2022925</v>
      </c>
      <c r="F29" s="1">
        <v>26</v>
      </c>
      <c r="G29" s="7">
        <v>161834</v>
      </c>
      <c r="H29" s="1">
        <v>2008</v>
      </c>
    </row>
    <row r="30" spans="1:8" ht="15.75" customHeight="1">
      <c r="A30" s="1" t="s">
        <v>50</v>
      </c>
      <c r="B30" s="1" t="s">
        <v>33</v>
      </c>
      <c r="C30" s="1" t="s">
        <v>51</v>
      </c>
      <c r="D30" s="1">
        <v>72</v>
      </c>
      <c r="E30" s="6">
        <v>3081421053</v>
      </c>
      <c r="F30" s="1">
        <v>60</v>
      </c>
      <c r="G30" s="7">
        <v>117094</v>
      </c>
      <c r="H30" s="1">
        <v>2011</v>
      </c>
    </row>
    <row r="31" spans="1:8" ht="15.75" customHeight="1">
      <c r="A31" s="1" t="s">
        <v>52</v>
      </c>
      <c r="B31" s="1" t="s">
        <v>23</v>
      </c>
      <c r="C31" s="1" t="s">
        <v>24</v>
      </c>
      <c r="D31" s="1">
        <v>15</v>
      </c>
      <c r="E31" s="6">
        <v>1719514286</v>
      </c>
      <c r="F31" s="1">
        <v>48</v>
      </c>
      <c r="G31" s="7">
        <v>60183</v>
      </c>
      <c r="H31" s="1">
        <v>2011</v>
      </c>
    </row>
    <row r="32" spans="1:8" ht="15.75" customHeight="1">
      <c r="A32" s="1" t="s">
        <v>53</v>
      </c>
      <c r="B32" s="1" t="s">
        <v>23</v>
      </c>
      <c r="C32" s="1" t="s">
        <v>24</v>
      </c>
      <c r="D32" s="1">
        <v>54</v>
      </c>
      <c r="E32" s="6">
        <v>3682733333</v>
      </c>
      <c r="F32" s="1">
        <v>37</v>
      </c>
      <c r="G32" s="7">
        <v>55241</v>
      </c>
      <c r="H32" s="1">
        <v>2011</v>
      </c>
    </row>
    <row r="33" spans="1:8" ht="15.75" customHeight="1">
      <c r="A33" s="1" t="s">
        <v>54</v>
      </c>
      <c r="B33" s="1" t="s">
        <v>23</v>
      </c>
      <c r="C33" s="1" t="s">
        <v>55</v>
      </c>
      <c r="D33" s="1">
        <v>70</v>
      </c>
      <c r="E33" s="6">
        <v>1747541667</v>
      </c>
      <c r="F33" s="1">
        <v>64</v>
      </c>
      <c r="G33" s="7">
        <v>41941</v>
      </c>
      <c r="H33" s="1">
        <v>2008</v>
      </c>
    </row>
    <row r="34" spans="1:8" ht="15.75" customHeight="1">
      <c r="A34" s="1" t="s">
        <v>56</v>
      </c>
      <c r="B34" s="1" t="s">
        <v>23</v>
      </c>
      <c r="C34" s="1" t="s">
        <v>51</v>
      </c>
      <c r="D34" s="1">
        <v>50</v>
      </c>
      <c r="E34" s="6">
        <v>19832</v>
      </c>
      <c r="F34" s="1">
        <v>38</v>
      </c>
      <c r="G34" s="7">
        <v>39664</v>
      </c>
      <c r="H34" s="1">
        <v>2011</v>
      </c>
    </row>
    <row r="35" spans="1:8" ht="15.75" customHeight="1">
      <c r="A35" s="1" t="s">
        <v>57</v>
      </c>
      <c r="B35" s="1" t="s">
        <v>33</v>
      </c>
      <c r="C35" s="1" t="s">
        <v>24</v>
      </c>
      <c r="D35" s="1">
        <v>51</v>
      </c>
      <c r="E35" s="6">
        <v>66934</v>
      </c>
      <c r="F35" s="1">
        <v>40</v>
      </c>
      <c r="G35" s="7">
        <v>33467</v>
      </c>
      <c r="H35" s="1">
        <v>2008</v>
      </c>
    </row>
    <row r="36" spans="1:8" ht="15.75" customHeight="1">
      <c r="A36" s="1" t="s">
        <v>58</v>
      </c>
      <c r="B36" s="1" t="s">
        <v>23</v>
      </c>
      <c r="C36" s="1" t="s">
        <v>10</v>
      </c>
      <c r="D36" s="1">
        <v>77</v>
      </c>
      <c r="E36" s="6">
        <v>27.7</v>
      </c>
      <c r="F36" s="1">
        <v>85</v>
      </c>
      <c r="G36" s="7">
        <v>30147</v>
      </c>
      <c r="H36" s="1">
        <v>2011</v>
      </c>
    </row>
    <row r="37" spans="1:8" ht="15.75" customHeight="1">
      <c r="A37" s="1" t="s">
        <v>59</v>
      </c>
      <c r="B37" s="1" t="s">
        <v>9</v>
      </c>
      <c r="C37" s="1" t="s">
        <v>19</v>
      </c>
      <c r="D37" s="1">
        <v>58</v>
      </c>
      <c r="E37" s="6">
        <v>1797416667</v>
      </c>
      <c r="F37" s="1">
        <v>45</v>
      </c>
      <c r="G37" s="7">
        <v>21569</v>
      </c>
      <c r="H37" s="1">
        <v>2010</v>
      </c>
    </row>
    <row r="38" spans="1:8" ht="15.75" customHeight="1">
      <c r="A38" s="1" t="s">
        <v>60</v>
      </c>
      <c r="B38" s="1" t="s">
        <v>33</v>
      </c>
      <c r="C38" s="1" t="s">
        <v>55</v>
      </c>
      <c r="D38" s="1">
        <v>84</v>
      </c>
      <c r="E38" s="6">
        <v>0.82579999999999998</v>
      </c>
      <c r="F38" s="1">
        <v>83</v>
      </c>
      <c r="G38" s="7">
        <v>8258</v>
      </c>
      <c r="H38" s="1">
        <v>2011</v>
      </c>
    </row>
    <row r="39" spans="1:8" ht="15.75" customHeight="1">
      <c r="A39" s="1" t="s">
        <v>61</v>
      </c>
      <c r="B39" s="1" t="s">
        <v>33</v>
      </c>
      <c r="C39" s="1" t="s">
        <v>39</v>
      </c>
      <c r="D39" s="1">
        <v>78</v>
      </c>
      <c r="E39" s="6">
        <v>141964</v>
      </c>
      <c r="F39" s="1">
        <v>27</v>
      </c>
      <c r="G39" s="7">
        <v>709.82</v>
      </c>
      <c r="H39" s="1">
        <v>2009</v>
      </c>
    </row>
    <row r="40" spans="1:8" ht="15.75" customHeight="1">
      <c r="A40" s="1" t="s">
        <v>62</v>
      </c>
      <c r="B40" s="1" t="s">
        <v>23</v>
      </c>
      <c r="C40" s="1" t="s">
        <v>24</v>
      </c>
      <c r="D40" s="1">
        <v>68</v>
      </c>
      <c r="E40" s="6">
        <v>6383363636</v>
      </c>
      <c r="F40" s="1">
        <v>26</v>
      </c>
      <c r="G40" s="7">
        <v>702.17</v>
      </c>
      <c r="H40" s="1">
        <v>2011</v>
      </c>
    </row>
    <row r="41" spans="1:8" ht="15.75" customHeight="1">
      <c r="A41" s="1" t="s">
        <v>63</v>
      </c>
      <c r="B41" s="1" t="s">
        <v>12</v>
      </c>
      <c r="C41" s="1" t="s">
        <v>13</v>
      </c>
      <c r="D41" s="1">
        <v>88</v>
      </c>
      <c r="E41" s="6">
        <v>1365692308</v>
      </c>
      <c r="F41" s="1">
        <v>89</v>
      </c>
      <c r="G41" s="7">
        <v>355.08</v>
      </c>
      <c r="H41" s="1">
        <v>2010</v>
      </c>
    </row>
    <row r="42" spans="1:8" ht="15.75" customHeight="1">
      <c r="A42" s="1" t="s">
        <v>64</v>
      </c>
      <c r="B42" s="1" t="s">
        <v>9</v>
      </c>
      <c r="C42" s="1" t="s">
        <v>13</v>
      </c>
      <c r="D42" s="1">
        <v>74</v>
      </c>
      <c r="E42" s="6">
        <v>78675</v>
      </c>
      <c r="F42" s="1">
        <v>43</v>
      </c>
      <c r="G42" s="7">
        <v>314.7</v>
      </c>
      <c r="H42" s="1">
        <v>2009</v>
      </c>
    </row>
    <row r="43" spans="1:8" ht="15.75" customHeight="1">
      <c r="A43" s="1" t="s">
        <v>65</v>
      </c>
      <c r="B43" s="1" t="s">
        <v>9</v>
      </c>
      <c r="C43" s="1" t="s">
        <v>15</v>
      </c>
      <c r="D43" s="1">
        <v>49</v>
      </c>
      <c r="E43" s="6">
        <v>28835</v>
      </c>
      <c r="F43" s="1">
        <v>15</v>
      </c>
      <c r="G43" s="7">
        <v>288.35000000000002</v>
      </c>
      <c r="H43" s="1">
        <v>2010</v>
      </c>
    </row>
    <row r="44" spans="1:8" ht="15.75" customHeight="1">
      <c r="A44" s="1" t="s">
        <v>66</v>
      </c>
      <c r="B44" s="1" t="s">
        <v>9</v>
      </c>
      <c r="C44" s="1" t="s">
        <v>10</v>
      </c>
      <c r="D44" s="1">
        <v>63</v>
      </c>
      <c r="E44" s="6">
        <v>2642352941</v>
      </c>
      <c r="F44" s="1">
        <v>56</v>
      </c>
      <c r="G44" s="7">
        <v>224.6</v>
      </c>
      <c r="H44" s="1">
        <v>2009</v>
      </c>
    </row>
    <row r="45" spans="1:8" ht="15.75" customHeight="1">
      <c r="A45" s="1" t="s">
        <v>67</v>
      </c>
      <c r="B45" s="1" t="s">
        <v>9</v>
      </c>
      <c r="C45" s="1" t="s">
        <v>15</v>
      </c>
      <c r="D45" s="1">
        <v>54</v>
      </c>
      <c r="E45" s="6">
        <v>4184038462</v>
      </c>
      <c r="F45" s="1">
        <v>17</v>
      </c>
      <c r="G45" s="7">
        <v>217.57</v>
      </c>
      <c r="H45" s="1">
        <v>2010</v>
      </c>
    </row>
    <row r="46" spans="1:8" ht="15.75" customHeight="1">
      <c r="A46" s="1" t="s">
        <v>68</v>
      </c>
      <c r="B46" s="1" t="s">
        <v>9</v>
      </c>
      <c r="C46" s="1" t="s">
        <v>24</v>
      </c>
      <c r="D46" s="1">
        <v>68</v>
      </c>
      <c r="E46" s="6">
        <v>5402631579</v>
      </c>
      <c r="F46" s="1">
        <v>14</v>
      </c>
      <c r="G46" s="7">
        <v>205.3</v>
      </c>
      <c r="H46" s="1">
        <v>2009</v>
      </c>
    </row>
    <row r="47" spans="1:8" ht="15.75" customHeight="1">
      <c r="A47" s="1" t="s">
        <v>69</v>
      </c>
      <c r="B47" s="1" t="s">
        <v>9</v>
      </c>
      <c r="C47" s="1" t="s">
        <v>15</v>
      </c>
      <c r="D47" s="1">
        <v>60</v>
      </c>
      <c r="E47" s="6">
        <v>71536</v>
      </c>
      <c r="F47" s="1">
        <v>42</v>
      </c>
      <c r="G47" s="7">
        <v>178.84</v>
      </c>
      <c r="H47" s="1">
        <v>2009</v>
      </c>
    </row>
    <row r="48" spans="1:8" ht="15.75" customHeight="1">
      <c r="A48" s="1" t="s">
        <v>70</v>
      </c>
      <c r="B48" s="1" t="s">
        <v>23</v>
      </c>
      <c r="C48" s="1" t="s">
        <v>27</v>
      </c>
      <c r="D48" s="1">
        <v>84</v>
      </c>
      <c r="E48" s="6">
        <v>8744705882</v>
      </c>
      <c r="F48" s="1">
        <v>93</v>
      </c>
      <c r="G48" s="7">
        <v>148.66</v>
      </c>
      <c r="H48" s="1">
        <v>2011</v>
      </c>
    </row>
    <row r="49" spans="1:8" ht="15.75" customHeight="1">
      <c r="A49" s="1" t="s">
        <v>71</v>
      </c>
      <c r="B49" s="1" t="s">
        <v>23</v>
      </c>
      <c r="C49" s="1" t="s">
        <v>15</v>
      </c>
      <c r="D49" s="1">
        <v>48</v>
      </c>
      <c r="E49" s="6">
        <v>2536428571</v>
      </c>
      <c r="F49" s="1">
        <v>8</v>
      </c>
      <c r="G49" s="7">
        <v>142.04</v>
      </c>
      <c r="H49" s="1">
        <v>2011</v>
      </c>
    </row>
    <row r="50" spans="1:8" ht="15.75" customHeight="1">
      <c r="A50" s="1" t="s">
        <v>72</v>
      </c>
      <c r="B50" s="1" t="s">
        <v>33</v>
      </c>
      <c r="C50" s="1" t="s">
        <v>27</v>
      </c>
      <c r="D50" s="1">
        <v>66</v>
      </c>
      <c r="E50" s="6">
        <v>45988</v>
      </c>
      <c r="F50" s="1">
        <v>29</v>
      </c>
      <c r="G50" s="7">
        <v>114.97</v>
      </c>
      <c r="H50" s="1">
        <v>2010</v>
      </c>
    </row>
    <row r="51" spans="1:8" ht="15.75" customHeight="1">
      <c r="A51" s="1" t="s">
        <v>73</v>
      </c>
      <c r="B51" s="1" t="s">
        <v>9</v>
      </c>
      <c r="C51" s="1" t="s">
        <v>15</v>
      </c>
      <c r="D51" s="1">
        <v>47</v>
      </c>
      <c r="E51" s="6">
        <v>20444</v>
      </c>
      <c r="F51" s="1">
        <v>27</v>
      </c>
      <c r="G51" s="7">
        <v>102.22</v>
      </c>
      <c r="H51" s="1">
        <v>2009</v>
      </c>
    </row>
    <row r="52" spans="1:8" ht="15.75" customHeight="1">
      <c r="A52" s="1" t="s">
        <v>74</v>
      </c>
      <c r="B52" s="1" t="s">
        <v>33</v>
      </c>
      <c r="C52" s="1" t="s">
        <v>34</v>
      </c>
      <c r="D52" s="1">
        <v>65</v>
      </c>
      <c r="E52" s="6">
        <v>2598205128</v>
      </c>
      <c r="F52" s="1">
        <v>38</v>
      </c>
      <c r="G52" s="7">
        <v>101.33</v>
      </c>
      <c r="H52" s="1">
        <v>2009</v>
      </c>
    </row>
    <row r="53" spans="1:8" ht="15.75" customHeight="1">
      <c r="A53" s="1" t="s">
        <v>75</v>
      </c>
      <c r="B53" s="1" t="s">
        <v>9</v>
      </c>
      <c r="C53" s="1" t="s">
        <v>24</v>
      </c>
      <c r="D53" s="1">
        <v>62</v>
      </c>
      <c r="E53" s="6">
        <v>2530526316</v>
      </c>
      <c r="F53" s="1">
        <v>28</v>
      </c>
      <c r="G53" s="7">
        <v>96.16</v>
      </c>
      <c r="H53" s="1">
        <v>2010</v>
      </c>
    </row>
    <row r="54" spans="1:8" ht="15.75" customHeight="1">
      <c r="A54" s="1" t="s">
        <v>76</v>
      </c>
      <c r="B54" s="1" t="s">
        <v>77</v>
      </c>
      <c r="C54" s="1" t="s">
        <v>30</v>
      </c>
      <c r="D54" s="1">
        <v>45</v>
      </c>
      <c r="E54" s="6">
        <v>1245333333</v>
      </c>
      <c r="F54" s="1">
        <v>11</v>
      </c>
      <c r="G54" s="7">
        <v>93.4</v>
      </c>
      <c r="H54" s="1">
        <v>2010</v>
      </c>
    </row>
    <row r="55" spans="1:8" ht="15.75" customHeight="1">
      <c r="A55" s="1" t="s">
        <v>78</v>
      </c>
      <c r="B55" s="1" t="s">
        <v>9</v>
      </c>
      <c r="C55" s="1" t="s">
        <v>39</v>
      </c>
      <c r="D55" s="1">
        <v>62</v>
      </c>
      <c r="E55" s="6">
        <v>2639333333</v>
      </c>
      <c r="F55" s="1">
        <v>40</v>
      </c>
      <c r="G55" s="7">
        <v>79.180000000000007</v>
      </c>
      <c r="H55" s="1">
        <v>2010</v>
      </c>
    </row>
    <row r="56" spans="1:8" ht="15.75" customHeight="1">
      <c r="A56" s="1" t="s">
        <v>79</v>
      </c>
      <c r="B56" s="1" t="s">
        <v>9</v>
      </c>
      <c r="C56" s="1" t="s">
        <v>80</v>
      </c>
      <c r="D56" s="1">
        <v>47</v>
      </c>
      <c r="E56" s="6">
        <v>2202571429</v>
      </c>
      <c r="F56" s="1">
        <v>20</v>
      </c>
      <c r="G56" s="7">
        <v>77.09</v>
      </c>
      <c r="H56" s="1">
        <v>2010</v>
      </c>
    </row>
    <row r="57" spans="1:8" ht="15.75" customHeight="1">
      <c r="A57" s="1" t="s">
        <v>81</v>
      </c>
      <c r="B57" s="1" t="s">
        <v>9</v>
      </c>
      <c r="C57" s="1" t="s">
        <v>19</v>
      </c>
      <c r="D57" s="1">
        <v>81</v>
      </c>
      <c r="E57" s="6">
        <v>8096</v>
      </c>
      <c r="F57" s="1">
        <v>87</v>
      </c>
      <c r="G57" s="7">
        <v>60.72</v>
      </c>
      <c r="H57" s="1">
        <v>2009</v>
      </c>
    </row>
    <row r="58" spans="1:8" ht="15.75" customHeight="1">
      <c r="A58" s="1" t="s">
        <v>82</v>
      </c>
      <c r="B58" s="1" t="s">
        <v>33</v>
      </c>
      <c r="C58" s="1" t="s">
        <v>39</v>
      </c>
      <c r="D58" s="1">
        <v>70</v>
      </c>
      <c r="E58" s="6">
        <v>349125</v>
      </c>
      <c r="F58" s="1">
        <v>28</v>
      </c>
      <c r="G58" s="7">
        <v>55.86</v>
      </c>
      <c r="H58" s="1">
        <v>2010</v>
      </c>
    </row>
    <row r="59" spans="1:8" ht="15.75" customHeight="1">
      <c r="A59" s="1" t="s">
        <v>83</v>
      </c>
      <c r="B59" s="1" t="s">
        <v>9</v>
      </c>
      <c r="C59" s="1" t="s">
        <v>19</v>
      </c>
      <c r="D59" s="1">
        <v>55</v>
      </c>
      <c r="E59" s="6">
        <v>1817666667</v>
      </c>
      <c r="F59" s="1">
        <v>48</v>
      </c>
      <c r="G59" s="7">
        <v>54.53</v>
      </c>
      <c r="H59" s="1">
        <v>2010</v>
      </c>
    </row>
    <row r="60" spans="1:8" ht="15.75" customHeight="1">
      <c r="A60" s="1" t="s">
        <v>84</v>
      </c>
      <c r="B60" s="1" t="s">
        <v>9</v>
      </c>
      <c r="C60" s="1" t="s">
        <v>34</v>
      </c>
      <c r="D60" s="1">
        <v>60</v>
      </c>
      <c r="E60" s="6">
        <v>24405</v>
      </c>
      <c r="F60" s="1">
        <v>57</v>
      </c>
      <c r="G60" s="7">
        <v>48.81</v>
      </c>
      <c r="H60" s="1">
        <v>2010</v>
      </c>
    </row>
    <row r="61" spans="1:8" ht="15.75" customHeight="1">
      <c r="A61" s="1" t="s">
        <v>85</v>
      </c>
      <c r="B61" s="1" t="s">
        <v>9</v>
      </c>
      <c r="C61" s="1" t="s">
        <v>13</v>
      </c>
      <c r="D61" s="1">
        <v>44</v>
      </c>
      <c r="E61" s="6">
        <v>43.1</v>
      </c>
      <c r="F61" s="1">
        <v>15</v>
      </c>
      <c r="G61" s="7">
        <v>43.04</v>
      </c>
      <c r="H61" s="1">
        <v>2010</v>
      </c>
    </row>
    <row r="62" spans="1:8" ht="15.75" customHeight="1">
      <c r="A62" s="1" t="s">
        <v>86</v>
      </c>
      <c r="B62" s="1" t="s">
        <v>9</v>
      </c>
      <c r="C62" s="1" t="s">
        <v>15</v>
      </c>
      <c r="D62" s="1">
        <v>56</v>
      </c>
      <c r="E62" s="6">
        <v>13140625</v>
      </c>
      <c r="F62" s="1">
        <v>53</v>
      </c>
      <c r="G62" s="7">
        <v>42.05</v>
      </c>
      <c r="H62" s="1">
        <v>2010</v>
      </c>
    </row>
    <row r="63" spans="1:8" ht="15.75" customHeight="1">
      <c r="A63" s="1" t="s">
        <v>87</v>
      </c>
      <c r="B63" s="1" t="s">
        <v>33</v>
      </c>
      <c r="C63" s="1" t="s">
        <v>10</v>
      </c>
      <c r="D63" s="1">
        <v>40</v>
      </c>
      <c r="E63" s="6">
        <v>2004444444</v>
      </c>
      <c r="F63" s="1">
        <v>18</v>
      </c>
      <c r="G63" s="7">
        <v>36.08</v>
      </c>
      <c r="H63" s="1">
        <v>2009</v>
      </c>
    </row>
    <row r="64" spans="1:8" ht="15.75" customHeight="1">
      <c r="A64" s="1" t="s">
        <v>88</v>
      </c>
      <c r="B64" s="1" t="s">
        <v>9</v>
      </c>
      <c r="C64" s="1" t="s">
        <v>10</v>
      </c>
      <c r="D64" s="1">
        <v>49</v>
      </c>
      <c r="E64" s="6">
        <v>1715263158</v>
      </c>
      <c r="F64" s="1">
        <v>21</v>
      </c>
      <c r="G64" s="7">
        <v>32.590000000000003</v>
      </c>
      <c r="H64" s="1">
        <v>2010</v>
      </c>
    </row>
    <row r="65" spans="1:8" ht="15.75" customHeight="1">
      <c r="A65" s="1" t="s">
        <v>89</v>
      </c>
      <c r="B65" s="1" t="s">
        <v>9</v>
      </c>
      <c r="C65" s="1" t="s">
        <v>15</v>
      </c>
      <c r="D65" s="1">
        <v>47</v>
      </c>
      <c r="E65" s="6">
        <v>1751351351</v>
      </c>
      <c r="F65" s="1">
        <v>56</v>
      </c>
      <c r="G65" s="7">
        <v>32.4</v>
      </c>
      <c r="H65" s="1">
        <v>2009</v>
      </c>
    </row>
    <row r="66" spans="1:8" ht="15.75" customHeight="1">
      <c r="A66" s="1" t="s">
        <v>90</v>
      </c>
      <c r="B66" s="1" t="s">
        <v>33</v>
      </c>
      <c r="C66" s="1" t="s">
        <v>10</v>
      </c>
      <c r="D66" s="1">
        <v>64</v>
      </c>
      <c r="E66" s="6">
        <v>4382857143</v>
      </c>
      <c r="F66" s="1">
        <v>89</v>
      </c>
      <c r="G66" s="7">
        <v>30.68</v>
      </c>
      <c r="H66" s="1">
        <v>2009</v>
      </c>
    </row>
    <row r="67" spans="1:8" ht="15.75" customHeight="1">
      <c r="A67" s="1" t="s">
        <v>91</v>
      </c>
      <c r="B67" s="1" t="s">
        <v>9</v>
      </c>
      <c r="C67" s="1" t="s">
        <v>24</v>
      </c>
      <c r="D67" s="1">
        <v>35</v>
      </c>
      <c r="E67" s="6">
        <v>1211818182</v>
      </c>
      <c r="F67" s="1">
        <v>43</v>
      </c>
      <c r="G67" s="7">
        <v>26.66</v>
      </c>
      <c r="H67" s="1">
        <v>2010</v>
      </c>
    </row>
    <row r="68" spans="1:8" ht="15.75" customHeight="1">
      <c r="A68" s="1" t="s">
        <v>92</v>
      </c>
      <c r="B68" s="1" t="s">
        <v>9</v>
      </c>
      <c r="C68" s="1" t="s">
        <v>24</v>
      </c>
      <c r="D68" s="1">
        <v>49</v>
      </c>
      <c r="E68" s="6">
        <v>21.4</v>
      </c>
      <c r="F68" s="1">
        <v>14</v>
      </c>
      <c r="G68" s="7">
        <v>21.37</v>
      </c>
      <c r="H68" s="1">
        <v>2010</v>
      </c>
    </row>
    <row r="69" spans="1:8" ht="15.75" customHeight="1">
      <c r="A69" s="1" t="s">
        <v>93</v>
      </c>
      <c r="B69" s="1" t="s">
        <v>9</v>
      </c>
      <c r="C69" s="1" t="s">
        <v>94</v>
      </c>
      <c r="D69" s="1">
        <v>47</v>
      </c>
      <c r="E69" s="6">
        <v>2071</v>
      </c>
      <c r="F69" s="1">
        <v>15</v>
      </c>
      <c r="G69" s="7">
        <v>20.71</v>
      </c>
      <c r="H69" s="1">
        <v>2008</v>
      </c>
    </row>
    <row r="70" spans="1:8" ht="15.75" customHeight="1">
      <c r="A70" s="1" t="s">
        <v>95</v>
      </c>
      <c r="B70" s="1" t="s">
        <v>9</v>
      </c>
      <c r="C70" s="1" t="s">
        <v>24</v>
      </c>
      <c r="D70" s="1">
        <v>57</v>
      </c>
      <c r="E70" s="6">
        <v>1.34</v>
      </c>
      <c r="F70" s="1">
        <v>71</v>
      </c>
      <c r="G70" s="7">
        <v>20.100000000000001</v>
      </c>
      <c r="H70" s="1">
        <v>2010</v>
      </c>
    </row>
    <row r="71" spans="1:8" ht="15.75" customHeight="1">
      <c r="A71" s="1" t="s">
        <v>96</v>
      </c>
      <c r="B71" s="1" t="s">
        <v>9</v>
      </c>
      <c r="C71" s="1" t="s">
        <v>55</v>
      </c>
      <c r="D71" s="1">
        <v>52</v>
      </c>
      <c r="E71" s="6">
        <v>1.0900000000000001</v>
      </c>
      <c r="F71" s="1">
        <v>68</v>
      </c>
      <c r="G71" s="7">
        <v>19.62</v>
      </c>
      <c r="H71" s="1">
        <v>2010</v>
      </c>
    </row>
    <row r="72" spans="1:8" ht="15.75" customHeight="1">
      <c r="A72" s="1" t="s">
        <v>97</v>
      </c>
      <c r="B72" s="1" t="s">
        <v>33</v>
      </c>
      <c r="C72" s="1" t="s">
        <v>24</v>
      </c>
      <c r="D72" s="1">
        <v>61</v>
      </c>
      <c r="E72" s="6">
        <v>1384166667</v>
      </c>
      <c r="F72" s="1">
        <v>85</v>
      </c>
      <c r="G72" s="7">
        <v>16.61</v>
      </c>
      <c r="H72" s="1">
        <v>2008</v>
      </c>
    </row>
    <row r="73" spans="1:8" ht="15.75" customHeight="1">
      <c r="A73" s="1" t="s">
        <v>98</v>
      </c>
      <c r="B73" s="1" t="s">
        <v>9</v>
      </c>
      <c r="C73" s="1" t="s">
        <v>24</v>
      </c>
      <c r="D73" s="1">
        <v>80</v>
      </c>
      <c r="E73" s="6">
        <v>4471875</v>
      </c>
      <c r="F73" s="1">
        <v>84</v>
      </c>
      <c r="G73" s="7">
        <v>14.31</v>
      </c>
      <c r="H73" s="1">
        <v>2011</v>
      </c>
    </row>
    <row r="74" spans="1:8" ht="15.75" customHeight="1">
      <c r="A74" s="1" t="s">
        <v>99</v>
      </c>
      <c r="B74" s="1" t="s">
        <v>33</v>
      </c>
      <c r="C74" s="1" t="s">
        <v>24</v>
      </c>
      <c r="D74" s="1">
        <v>66</v>
      </c>
      <c r="E74" s="6">
        <v>2.14</v>
      </c>
      <c r="F74" s="1">
        <v>34</v>
      </c>
      <c r="G74" s="7">
        <v>10.7</v>
      </c>
      <c r="H74" s="1">
        <v>2009</v>
      </c>
    </row>
    <row r="75" spans="1:8" ht="15.75" customHeight="1">
      <c r="A75" s="1" t="s">
        <v>100</v>
      </c>
      <c r="B75" s="1" t="s">
        <v>23</v>
      </c>
      <c r="C75" s="1" t="s">
        <v>24</v>
      </c>
      <c r="D75" s="1">
        <v>53</v>
      </c>
      <c r="E75" s="6">
        <v>5.0000000000000001E-3</v>
      </c>
      <c r="F75" s="1">
        <v>6</v>
      </c>
      <c r="G75" s="7">
        <v>2.5000000000000001E-2</v>
      </c>
      <c r="H75" s="1">
        <v>2011</v>
      </c>
    </row>
  </sheetData>
  <conditionalFormatting sqref="E2:E75">
    <cfRule type="cellIs" dxfId="1" priority="2" operator="lessThan">
      <formula>10</formula>
    </cfRule>
  </conditionalFormatting>
  <conditionalFormatting sqref="G2:G75">
    <cfRule type="top10" dxfId="0" priority="3" rank="10"/>
  </conditionalFormatting>
  <dataValidations count="1">
    <dataValidation type="whole" allowBlank="1" showInputMessage="1" showErrorMessage="1" sqref="D1:D1075" xr:uid="{00000000-0002-0000-0000-000000000000}">
      <formula1>0</formula1>
      <formula2>100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zoomScaleNormal="100" workbookViewId="0">
      <selection activeCell="A2" sqref="A2"/>
    </sheetView>
  </sheetViews>
  <sheetFormatPr defaultColWidth="8.7109375" defaultRowHeight="15"/>
  <cols>
    <col min="1" max="1" width="22.140625" style="8" customWidth="1"/>
    <col min="2" max="2" width="16.85546875" style="8" customWidth="1"/>
    <col min="3" max="3" width="24.42578125" style="8" customWidth="1"/>
    <col min="4" max="4" width="16.85546875" style="8" customWidth="1"/>
    <col min="5" max="5" width="10.7109375" style="8" customWidth="1"/>
    <col min="6" max="6" width="24.42578125" style="8" customWidth="1"/>
    <col min="7" max="7" width="16.85546875" style="8" customWidth="1"/>
  </cols>
  <sheetData>
    <row r="1" spans="1:7" ht="15" customHeight="1">
      <c r="A1" s="9"/>
      <c r="B1" s="10" t="s">
        <v>101</v>
      </c>
      <c r="C1" s="11"/>
      <c r="E1" s="9"/>
      <c r="F1" s="10" t="s">
        <v>101</v>
      </c>
      <c r="G1" s="11"/>
    </row>
    <row r="2" spans="1:7" ht="15" customHeight="1">
      <c r="A2" s="12" t="s">
        <v>2</v>
      </c>
      <c r="B2" s="13" t="s">
        <v>102</v>
      </c>
      <c r="C2" s="14" t="s">
        <v>103</v>
      </c>
      <c r="E2" s="12" t="s">
        <v>1</v>
      </c>
      <c r="F2" s="13" t="s">
        <v>103</v>
      </c>
      <c r="G2" s="14" t="s">
        <v>102</v>
      </c>
    </row>
    <row r="3" spans="1:7" ht="15" customHeight="1">
      <c r="A3" s="15" t="s">
        <v>51</v>
      </c>
      <c r="B3" s="16">
        <v>2</v>
      </c>
      <c r="C3" s="17">
        <v>156758</v>
      </c>
      <c r="E3" s="15" t="s">
        <v>77</v>
      </c>
      <c r="F3" s="18">
        <v>93.4</v>
      </c>
      <c r="G3" s="19">
        <v>1</v>
      </c>
    </row>
    <row r="4" spans="1:7" ht="15" customHeight="1">
      <c r="A4" s="20" t="s">
        <v>80</v>
      </c>
      <c r="B4" s="21">
        <v>1</v>
      </c>
      <c r="C4" s="22">
        <v>77.09</v>
      </c>
      <c r="E4" s="20" t="s">
        <v>12</v>
      </c>
      <c r="F4" s="23">
        <v>521477754.07999998</v>
      </c>
      <c r="G4" s="24">
        <v>3</v>
      </c>
    </row>
    <row r="5" spans="1:7" ht="15" customHeight="1">
      <c r="A5" s="20" t="s">
        <v>13</v>
      </c>
      <c r="B5" s="21">
        <v>7</v>
      </c>
      <c r="C5" s="22">
        <v>1114010264.8199999</v>
      </c>
      <c r="E5" s="20" t="s">
        <v>9</v>
      </c>
      <c r="F5" s="23">
        <v>2542270462.9200001</v>
      </c>
      <c r="G5" s="24">
        <v>41</v>
      </c>
    </row>
    <row r="6" spans="1:7" ht="15" customHeight="1">
      <c r="A6" s="20" t="s">
        <v>19</v>
      </c>
      <c r="B6" s="21">
        <v>6</v>
      </c>
      <c r="C6" s="22">
        <v>379904057.25</v>
      </c>
      <c r="E6" s="20" t="s">
        <v>33</v>
      </c>
      <c r="F6" s="23">
        <v>52438768.049999997</v>
      </c>
      <c r="G6" s="24">
        <v>13</v>
      </c>
    </row>
    <row r="7" spans="1:7" ht="15" customHeight="1">
      <c r="A7" s="20" t="s">
        <v>24</v>
      </c>
      <c r="B7" s="21">
        <v>19</v>
      </c>
      <c r="C7" s="22">
        <v>284799610.40499997</v>
      </c>
      <c r="E7" s="20" t="s">
        <v>46</v>
      </c>
      <c r="F7" s="23">
        <v>285431</v>
      </c>
      <c r="G7" s="24">
        <v>1</v>
      </c>
    </row>
    <row r="8" spans="1:7" ht="15" customHeight="1">
      <c r="A8" s="20" t="s">
        <v>30</v>
      </c>
      <c r="B8" s="21">
        <v>2</v>
      </c>
      <c r="C8" s="22">
        <v>59192221.399999999</v>
      </c>
      <c r="E8" s="20" t="s">
        <v>23</v>
      </c>
      <c r="F8" s="25">
        <v>407004268.89499998</v>
      </c>
      <c r="G8" s="26">
        <v>15</v>
      </c>
    </row>
    <row r="9" spans="1:7" ht="15" customHeight="1">
      <c r="A9" s="20" t="s">
        <v>94</v>
      </c>
      <c r="B9" s="21">
        <v>1</v>
      </c>
      <c r="C9" s="22">
        <v>20.71</v>
      </c>
      <c r="E9" s="27" t="s">
        <v>104</v>
      </c>
      <c r="F9" s="28">
        <v>3523476778.3449998</v>
      </c>
      <c r="G9" s="29">
        <v>74</v>
      </c>
    </row>
    <row r="10" spans="1:7" ht="15" customHeight="1">
      <c r="A10" s="20" t="s">
        <v>34</v>
      </c>
      <c r="B10" s="21">
        <v>4</v>
      </c>
      <c r="C10" s="22">
        <v>56082793.140000001</v>
      </c>
    </row>
    <row r="11" spans="1:7" ht="15" customHeight="1">
      <c r="A11" s="20" t="s">
        <v>27</v>
      </c>
      <c r="B11" s="21">
        <v>4</v>
      </c>
      <c r="C11" s="22">
        <v>139490290.63</v>
      </c>
    </row>
    <row r="12" spans="1:7" ht="15" customHeight="1">
      <c r="A12" s="20" t="s">
        <v>39</v>
      </c>
      <c r="B12" s="21">
        <v>5</v>
      </c>
      <c r="C12" s="22">
        <v>21119501.859999999</v>
      </c>
    </row>
    <row r="13" spans="1:7" ht="15" customHeight="1">
      <c r="A13" s="20" t="s">
        <v>55</v>
      </c>
      <c r="B13" s="21">
        <v>3</v>
      </c>
      <c r="C13" s="22">
        <v>50218.62</v>
      </c>
    </row>
    <row r="14" spans="1:7" ht="15" customHeight="1">
      <c r="A14" s="20" t="s">
        <v>10</v>
      </c>
      <c r="B14" s="21">
        <v>7</v>
      </c>
      <c r="C14" s="22">
        <v>828505686.95000005</v>
      </c>
    </row>
    <row r="15" spans="1:7" ht="15" customHeight="1">
      <c r="A15" s="20" t="s">
        <v>15</v>
      </c>
      <c r="B15" s="30">
        <v>13</v>
      </c>
      <c r="C15" s="31">
        <v>640165277.47000003</v>
      </c>
    </row>
    <row r="16" spans="1:7" ht="15" customHeight="1">
      <c r="A16" s="27" t="s">
        <v>104</v>
      </c>
      <c r="B16" s="32">
        <v>74</v>
      </c>
      <c r="C16" s="33">
        <v>3523476778.3449998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showGridLines="0" zoomScaleNormal="100" workbookViewId="0">
      <pane ySplit="1" topLeftCell="A11" activePane="bottomLeft" state="frozen"/>
      <selection pane="bottomLeft" activeCell="H28" sqref="H28"/>
    </sheetView>
  </sheetViews>
  <sheetFormatPr defaultColWidth="8.7109375" defaultRowHeight="15"/>
  <cols>
    <col min="1" max="1" width="30" style="8" customWidth="1"/>
    <col min="2" max="2" width="20" style="8" customWidth="1"/>
    <col min="3" max="4" width="22" style="8" customWidth="1"/>
    <col min="5" max="5" width="2" style="8" customWidth="1"/>
    <col min="6" max="6" width="28" style="8" customWidth="1"/>
    <col min="7" max="8" width="18" style="8" customWidth="1"/>
  </cols>
  <sheetData>
    <row r="1" spans="1:8" ht="36" customHeight="1">
      <c r="A1" s="58" t="s">
        <v>105</v>
      </c>
      <c r="B1" s="58"/>
      <c r="C1" s="58"/>
      <c r="D1" s="58"/>
      <c r="E1" s="58"/>
      <c r="F1" s="58"/>
      <c r="G1" s="58"/>
      <c r="H1" s="58"/>
    </row>
    <row r="3" spans="1:8" ht="21.75" customHeight="1">
      <c r="A3" s="57" t="s">
        <v>106</v>
      </c>
      <c r="B3" s="57"/>
      <c r="C3" s="57"/>
      <c r="D3" s="57"/>
      <c r="F3" s="57" t="s">
        <v>107</v>
      </c>
      <c r="G3" s="57"/>
      <c r="H3" s="57"/>
    </row>
    <row r="4" spans="1:8" ht="27.75" customHeight="1">
      <c r="A4" s="34" t="s">
        <v>108</v>
      </c>
      <c r="B4" s="34" t="s">
        <v>109</v>
      </c>
      <c r="C4" s="34" t="s">
        <v>5</v>
      </c>
      <c r="D4" s="34" t="s">
        <v>6</v>
      </c>
      <c r="F4" s="34" t="s">
        <v>110</v>
      </c>
      <c r="G4" s="34" t="s">
        <v>111</v>
      </c>
      <c r="H4" s="34" t="s">
        <v>112</v>
      </c>
    </row>
    <row r="5" spans="1:8" ht="18" customHeight="1">
      <c r="A5" s="35" t="s">
        <v>113</v>
      </c>
      <c r="B5" s="36">
        <f>SUM('Movie Data'!D2:D75)</f>
        <v>4697</v>
      </c>
      <c r="C5" s="36">
        <f>SUM('Movie Data'!F2:F75)</f>
        <v>3505</v>
      </c>
      <c r="D5" s="36">
        <f>SUM('Movie Data'!G2:G75)</f>
        <v>3523476778.3449993</v>
      </c>
      <c r="F5" s="37" t="str">
        <f>IFERROR('Movie Data'!A2,"Sem dado")</f>
        <v>Mamma Mia!</v>
      </c>
      <c r="G5" s="37" t="str">
        <f>IF('Movie Data'!D2&gt;=75,"Popular","Moderado")</f>
        <v>Popular</v>
      </c>
      <c r="H5" s="37" t="str">
        <f>IF(OR('Movie Data'!F2&gt;=70,'Movie Data'!D2&gt;=80),"Aprovado","Rejeitado")</f>
        <v>Rejeitado</v>
      </c>
    </row>
    <row r="6" spans="1:8" ht="18" customHeight="1">
      <c r="A6" s="38" t="s">
        <v>114</v>
      </c>
      <c r="B6" s="39">
        <f>AVERAGE('Movie Data'!D2:D75)</f>
        <v>63.472972972972975</v>
      </c>
      <c r="C6" s="39">
        <f>AVERAGE('Movie Data'!F2:F75)</f>
        <v>47.364864864864863</v>
      </c>
      <c r="D6" s="39">
        <f>AVERAGE('Movie Data'!G2:G75)</f>
        <v>47614551.058716208</v>
      </c>
      <c r="F6" s="40" t="str">
        <f>IFERROR('Movie Data'!A3,"Sem dado")</f>
        <v>WALL-E</v>
      </c>
      <c r="G6" s="40" t="str">
        <f>IF('Movie Data'!D3&gt;=75,"Popular","Moderado")</f>
        <v>Popular</v>
      </c>
      <c r="H6" s="40" t="str">
        <f>IF(OR('Movie Data'!F3&gt;=70,'Movie Data'!D3&gt;=80),"Aprovado","Rejeitado")</f>
        <v>Aprovado</v>
      </c>
    </row>
    <row r="7" spans="1:8" ht="18" customHeight="1">
      <c r="A7" s="35" t="s">
        <v>115</v>
      </c>
      <c r="B7" s="36">
        <f>MAX('Movie Data'!D2:D75)</f>
        <v>89</v>
      </c>
      <c r="C7" s="36">
        <f>MAX('Movie Data'!F2:F75)</f>
        <v>96</v>
      </c>
      <c r="D7" s="36">
        <f>MAX('Movie Data'!G2:G75)</f>
        <v>609473955</v>
      </c>
      <c r="F7" s="37" t="str">
        <f>IFERROR('Movie Data'!A4,"Sem dado")</f>
        <v>Sex and the City</v>
      </c>
      <c r="G7" s="37" t="str">
        <f>IF('Movie Data'!D4&gt;=75,"Popular","Moderado")</f>
        <v>Popular</v>
      </c>
      <c r="H7" s="37" t="str">
        <f>IF(OR('Movie Data'!F4&gt;=70,'Movie Data'!D4&gt;=80),"Aprovado","Rejeitado")</f>
        <v>Aprovado</v>
      </c>
    </row>
    <row r="8" spans="1:8" ht="18" customHeight="1">
      <c r="A8" s="38" t="s">
        <v>116</v>
      </c>
      <c r="B8" s="39">
        <f>MIN('Movie Data'!D2:D75)</f>
        <v>15</v>
      </c>
      <c r="C8" s="39">
        <f>MIN('Movie Data'!F2:F75)</f>
        <v>3</v>
      </c>
      <c r="D8" s="39">
        <f>MIN('Movie Data'!G2:G75)</f>
        <v>2.5000000000000001E-2</v>
      </c>
      <c r="F8" s="40" t="str">
        <f>IFERROR('Movie Data'!A5,"Sem dado")</f>
        <v>Enchanted</v>
      </c>
      <c r="G8" s="40" t="str">
        <f>IF('Movie Data'!D5&gt;=75,"Popular","Moderado")</f>
        <v>Popular</v>
      </c>
      <c r="H8" s="40" t="str">
        <f>IF(OR('Movie Data'!F5&gt;=70,'Movie Data'!D5&gt;=80),"Aprovado","Rejeitado")</f>
        <v>Aprovado</v>
      </c>
    </row>
    <row r="9" spans="1:8" ht="18" customHeight="1">
      <c r="A9" s="35" t="s">
        <v>117</v>
      </c>
      <c r="B9" s="36">
        <f>LARGE('Movie Data'!D2:D75,2)</f>
        <v>89</v>
      </c>
      <c r="C9" s="36">
        <f>LARGE('Movie Data'!F2:F75,2)</f>
        <v>93</v>
      </c>
      <c r="D9" s="36">
        <f>LARGE('Movie Data'!G2:G75,2)</f>
        <v>521283432</v>
      </c>
      <c r="F9" s="37" t="str">
        <f>IFERROR('Movie Data'!A6,"Sem dado")</f>
        <v>High School Musical 3: Senior Year</v>
      </c>
      <c r="G9" s="37" t="str">
        <f>IF('Movie Data'!D6&gt;=75,"Popular","Moderado")</f>
        <v>Popular</v>
      </c>
      <c r="H9" s="37" t="str">
        <f>IF(OR('Movie Data'!F6&gt;=70,'Movie Data'!D6&gt;=80),"Aprovado","Rejeitado")</f>
        <v>Rejeitado</v>
      </c>
    </row>
    <row r="10" spans="1:8" ht="18" customHeight="1">
      <c r="A10" s="38" t="s">
        <v>118</v>
      </c>
      <c r="B10" s="39">
        <f>SMALL('Movie Data'!D2:D75,2)</f>
        <v>35</v>
      </c>
      <c r="C10" s="39">
        <f>SMALL('Movie Data'!F2:F75,2)</f>
        <v>6</v>
      </c>
      <c r="D10" s="39">
        <f>SMALL('Movie Data'!G2:G75,2)</f>
        <v>10.7</v>
      </c>
      <c r="F10" s="40" t="str">
        <f>IFERROR('Movie Data'!A7,"Sem dado")</f>
        <v>What Happens in Vegas</v>
      </c>
      <c r="G10" s="40" t="str">
        <f>IF('Movie Data'!D7&gt;=75,"Popular","Moderado")</f>
        <v>Moderado</v>
      </c>
      <c r="H10" s="40" t="str">
        <f>IF(OR('Movie Data'!F7&gt;=70,'Movie Data'!D7&gt;=80),"Aprovado","Rejeitado")</f>
        <v>Rejeitado</v>
      </c>
    </row>
    <row r="11" spans="1:8" ht="18" customHeight="1">
      <c r="A11" s="35" t="s">
        <v>119</v>
      </c>
      <c r="B11" s="36">
        <f>COUNTA('Movie Data'!D2:D75)</f>
        <v>74</v>
      </c>
      <c r="C11" s="36">
        <f>COUNTA('Movie Data'!F2:F75)</f>
        <v>74</v>
      </c>
      <c r="D11" s="36">
        <f>COUNTA('Movie Data'!G2:G75)</f>
        <v>74</v>
      </c>
      <c r="F11" s="37" t="str">
        <f>IFERROR('Movie Data'!A8,"Sem dado")</f>
        <v>Knocked Up</v>
      </c>
      <c r="G11" s="37" t="str">
        <f>IF('Movie Data'!D8&gt;=75,"Popular","Moderado")</f>
        <v>Popular</v>
      </c>
      <c r="H11" s="37" t="str">
        <f>IF(OR('Movie Data'!F8&gt;=70,'Movie Data'!D8&gt;=80),"Aprovado","Rejeitado")</f>
        <v>Aprovado</v>
      </c>
    </row>
    <row r="12" spans="1:8" ht="18" customHeight="1">
      <c r="A12" s="38" t="s">
        <v>120</v>
      </c>
      <c r="B12" s="39">
        <f>COUNTBLANK('Movie Data'!D2:D75)</f>
        <v>0</v>
      </c>
      <c r="C12" s="39">
        <f>COUNTBLANK('Movie Data'!F2:F75)</f>
        <v>0</v>
      </c>
      <c r="D12" s="39">
        <f>COUNTBLANK('Movie Data'!G2:G75)</f>
        <v>0</v>
      </c>
      <c r="F12" s="40" t="str">
        <f>IFERROR('Movie Data'!A9,"Sem dado")</f>
        <v>27 Dresses</v>
      </c>
      <c r="G12" s="40" t="str">
        <f>IF('Movie Data'!D9&gt;=75,"Popular","Moderado")</f>
        <v>Moderado</v>
      </c>
      <c r="H12" s="40" t="str">
        <f>IF(OR('Movie Data'!F9&gt;=70,'Movie Data'!D9&gt;=80),"Aprovado","Rejeitado")</f>
        <v>Rejeitado</v>
      </c>
    </row>
    <row r="13" spans="1:8" ht="7.5" customHeight="1"/>
    <row r="14" spans="1:8" ht="21.75" customHeight="1">
      <c r="A14" s="57" t="s">
        <v>121</v>
      </c>
      <c r="B14" s="57"/>
      <c r="C14" s="57"/>
      <c r="D14" s="57"/>
      <c r="F14" s="57" t="s">
        <v>122</v>
      </c>
      <c r="G14" s="57"/>
      <c r="H14" s="57"/>
    </row>
    <row r="15" spans="1:8" ht="27.75" customHeight="1">
      <c r="A15" s="34" t="s">
        <v>123</v>
      </c>
      <c r="B15" s="34" t="s">
        <v>124</v>
      </c>
      <c r="C15" s="34" t="s">
        <v>125</v>
      </c>
      <c r="D15" s="34" t="s">
        <v>126</v>
      </c>
      <c r="F15" s="34" t="s">
        <v>127</v>
      </c>
      <c r="G15" s="34" t="s">
        <v>128</v>
      </c>
      <c r="H15" s="34" t="s">
        <v>129</v>
      </c>
    </row>
    <row r="16" spans="1:8" ht="18" customHeight="1">
      <c r="A16" s="35" t="s">
        <v>9</v>
      </c>
      <c r="B16" s="37">
        <f>COUNTIF('Movie Data'!B2:B75,"Comedy")</f>
        <v>41</v>
      </c>
      <c r="C16" s="36">
        <f>SUMIF('Movie Data'!B2:B75,"Comedy",'Movie Data'!G2:G75)</f>
        <v>2542270462.9199996</v>
      </c>
      <c r="D16" s="41">
        <f>AVERAGEIF('Movie Data'!B2:B75,"Comedy",'Movie Data'!D2:D75)</f>
        <v>61.390243902439025</v>
      </c>
      <c r="F16" s="37" t="s">
        <v>8</v>
      </c>
      <c r="G16" s="37" t="str">
        <f>IFERROR(VLOOKUP("Mamma Mia!",'Movie Data'!A2:H75,2,0),"Não encontrado")</f>
        <v>Comedy</v>
      </c>
      <c r="H16" s="37">
        <f>IFERROR(MATCH("Mamma Mia!",'Movie Data'!A2:A75,0),"Não encontrado")</f>
        <v>1</v>
      </c>
    </row>
    <row r="17" spans="1:8" ht="18" customHeight="1">
      <c r="A17" s="38" t="s">
        <v>23</v>
      </c>
      <c r="B17" s="40">
        <f>COUNTIF('Movie Data'!B2:B75,"Romance")</f>
        <v>15</v>
      </c>
      <c r="C17" s="39">
        <f>SUMIF('Movie Data'!B2:B75,"Romance",'Movie Data'!G2:G75)</f>
        <v>407004268.89500004</v>
      </c>
      <c r="D17" s="42">
        <f>AVERAGEIF('Movie Data'!B2:B75,"Romance",'Movie Data'!D2:D75)</f>
        <v>63.4</v>
      </c>
      <c r="F17" s="40" t="s">
        <v>11</v>
      </c>
      <c r="G17" s="40" t="str">
        <f>IFERROR(VLOOKUP("WALL-E",'Movie Data'!A2:H75,2,0),"Não encontrado")</f>
        <v>Animation</v>
      </c>
      <c r="H17" s="40">
        <f>IFERROR(MATCH("WALL-E",'Movie Data'!A2:A75,0),"Não encontrado")</f>
        <v>2</v>
      </c>
    </row>
    <row r="18" spans="1:8" ht="18" customHeight="1">
      <c r="A18" s="35" t="s">
        <v>33</v>
      </c>
      <c r="B18" s="37">
        <f>COUNTIF('Movie Data'!B2:B75,"Drama")</f>
        <v>13</v>
      </c>
      <c r="C18" s="36">
        <f>SUMIF('Movie Data'!B2:B75,"Drama",'Movie Data'!G2:G75)</f>
        <v>52438768.049999997</v>
      </c>
      <c r="D18" s="41">
        <f>AVERAGEIF('Movie Data'!B2:B75,"Drama",'Movie Data'!D2:D75)</f>
        <v>67.230769230769226</v>
      </c>
      <c r="F18" s="37" t="s">
        <v>44</v>
      </c>
      <c r="G18" s="37" t="str">
        <f>IFERROR(VLOOKUP("Twilight",'Movie Data'!A2:H75,2,0),"Não encontrado")</f>
        <v>Romance</v>
      </c>
      <c r="H18" s="37">
        <f>IFERROR(MATCH("Twilight",'Movie Data'!A2:A75,0),"Não encontrado")</f>
        <v>24</v>
      </c>
    </row>
    <row r="19" spans="1:8" ht="18" customHeight="1">
      <c r="A19" s="38" t="s">
        <v>12</v>
      </c>
      <c r="B19" s="40">
        <f>COUNTIF('Movie Data'!B2:B75,"Animation")</f>
        <v>3</v>
      </c>
      <c r="C19" s="39">
        <f>SUMIF('Movie Data'!B2:B75,"Animation",'Movie Data'!G2:G75)</f>
        <v>521477754.07999998</v>
      </c>
      <c r="D19" s="42">
        <f>AVERAGEIF('Movie Data'!B2:B75,"Animation",'Movie Data'!D2:D75)</f>
        <v>76.333333333333329</v>
      </c>
      <c r="F19" s="40" t="s">
        <v>63</v>
      </c>
      <c r="G19" s="40" t="str">
        <f>IFERROR(VLOOKUP("Tangled",'Movie Data'!A2:H75,2,0),"Não encontrado")</f>
        <v>Animation</v>
      </c>
      <c r="H19" s="40">
        <f>IFERROR(MATCH("Tangled",'Movie Data'!A2:A75,0),"Não encontrado")</f>
        <v>40</v>
      </c>
    </row>
    <row r="20" spans="1:8" ht="18" customHeight="1">
      <c r="A20" s="35" t="s">
        <v>46</v>
      </c>
      <c r="B20" s="37">
        <f>COUNTIF('Movie Data'!B2:B75,"Fantasy")</f>
        <v>1</v>
      </c>
      <c r="C20" s="36">
        <f>SUMIF('Movie Data'!B2:B75,"Fantasy",'Movie Data'!G2:G75)</f>
        <v>285431</v>
      </c>
      <c r="D20" s="41">
        <f>AVERAGEIF('Movie Data'!B2:B75,"Fantasy",'Movie Data'!D2:D75)</f>
        <v>81</v>
      </c>
      <c r="F20" s="37" t="s">
        <v>98</v>
      </c>
      <c r="G20" s="37" t="str">
        <f>IFERROR(VLOOKUP("Beginners",'Movie Data'!A2:H75,2,0),"Não encontrado")</f>
        <v>Comedy</v>
      </c>
      <c r="H20" s="37">
        <f>IFERROR(MATCH("Beginners",'Movie Data'!A2:A75,0),"Não encontrado")</f>
        <v>72</v>
      </c>
    </row>
    <row r="21" spans="1:8" ht="18" customHeight="1">
      <c r="A21" s="38" t="s">
        <v>77</v>
      </c>
      <c r="B21" s="40">
        <f>COUNTIF('Movie Data'!B2:B75,"Action")</f>
        <v>1</v>
      </c>
      <c r="C21" s="39">
        <f>SUMIF('Movie Data'!B2:B75,"Action",'Movie Data'!G2:G75)</f>
        <v>93.4</v>
      </c>
      <c r="D21" s="42">
        <f>AVERAGEIF('Movie Data'!B2:B75,"Action",'Movie Data'!D2:D75)</f>
        <v>45</v>
      </c>
      <c r="F21" s="40" t="s">
        <v>58</v>
      </c>
      <c r="G21" s="40" t="str">
        <f>IFERROR(VLOOKUP("Jane Eyre",'Movie Data'!A2:H75,2,0),"Não encontrado")</f>
        <v>Romance</v>
      </c>
      <c r="H21" s="40">
        <f>IFERROR(MATCH("Jane Eyre",'Movie Data'!A2:A75,0),"Não encontrado")</f>
        <v>35</v>
      </c>
    </row>
    <row r="22" spans="1:8" ht="7.5" customHeight="1"/>
    <row r="23" spans="1:8" ht="21.75" customHeight="1">
      <c r="A23" s="57" t="s">
        <v>130</v>
      </c>
      <c r="B23" s="57"/>
      <c r="C23" s="57"/>
      <c r="D23" s="57"/>
      <c r="F23" s="57" t="s">
        <v>131</v>
      </c>
      <c r="G23" s="57"/>
      <c r="H23" s="57"/>
    </row>
    <row r="24" spans="1:8" ht="27.75" customHeight="1">
      <c r="A24" s="34" t="s">
        <v>132</v>
      </c>
      <c r="B24" s="34" t="s">
        <v>133</v>
      </c>
      <c r="C24" s="34" t="s">
        <v>134</v>
      </c>
      <c r="D24" s="34" t="s">
        <v>135</v>
      </c>
      <c r="F24" s="34" t="s">
        <v>136</v>
      </c>
      <c r="G24" s="34" t="s">
        <v>137</v>
      </c>
      <c r="H24" s="34" t="s">
        <v>138</v>
      </c>
    </row>
    <row r="25" spans="1:8" ht="18" customHeight="1">
      <c r="A25" s="35" t="str">
        <f>TRIM(UPPER('Movie Data'!A2))</f>
        <v>MAMMA MIA!</v>
      </c>
      <c r="B25" s="37" t="str">
        <f>CONCATENATE(LEFT('Movie Data'!A2,3),"-",RIGHT('Movie Data'!A2,3))</f>
        <v>Mam-ia!</v>
      </c>
      <c r="C25" s="37" t="str">
        <f>CONCATENATE(TRIM('Movie Data'!A2)," [", 'Movie Data'!B2,"]")</f>
        <v>Mamma Mia! [Comedy]</v>
      </c>
      <c r="D25" s="37" t="str">
        <f>MID('Movie Data'!A2,1,8)</f>
        <v>Mamma Mi</v>
      </c>
      <c r="F25" s="37" t="s">
        <v>139</v>
      </c>
      <c r="G25" s="43">
        <f ca="1">TODAY()</f>
        <v>46196</v>
      </c>
      <c r="H25" s="44">
        <f ca="1">TODAY()</f>
        <v>46196</v>
      </c>
    </row>
    <row r="26" spans="1:8" ht="18" customHeight="1">
      <c r="A26" s="38" t="str">
        <f>TRIM(UPPER('Movie Data'!A3))</f>
        <v>WALL-E</v>
      </c>
      <c r="B26" s="40" t="str">
        <f>CONCATENATE(LEFT('Movie Data'!A3,3),"-",RIGHT('Movie Data'!A3,3))</f>
        <v>WAL-L-E</v>
      </c>
      <c r="C26" s="40" t="str">
        <f>CONCATENATE(TRIM('Movie Data'!A3)," [", 'Movie Data'!B3,"]")</f>
        <v>WALL-E [Animation]</v>
      </c>
      <c r="D26" s="40" t="str">
        <f>MID('Movie Data'!A3,1,8)</f>
        <v>WALL-E</v>
      </c>
      <c r="F26" s="40" t="s">
        <v>140</v>
      </c>
      <c r="G26" s="45">
        <f ca="1">YEAR(TODAY())</f>
        <v>2026</v>
      </c>
      <c r="H26" s="40">
        <f ca="1">YEAR(TODAY())</f>
        <v>2026</v>
      </c>
    </row>
    <row r="27" spans="1:8" ht="18" customHeight="1">
      <c r="A27" s="35" t="str">
        <f>TRIM(UPPER('Movie Data'!A4))</f>
        <v>SEX AND THE CITY</v>
      </c>
      <c r="B27" s="37" t="str">
        <f>CONCATENATE(LEFT('Movie Data'!A4,3),"-",RIGHT('Movie Data'!A4,3))</f>
        <v>Sex-ity</v>
      </c>
      <c r="C27" s="37" t="str">
        <f>CONCATENATE(TRIM('Movie Data'!A4)," [", 'Movie Data'!B4,"]")</f>
        <v>Sex and the City [Comedy]</v>
      </c>
      <c r="D27" s="37" t="str">
        <f>MID('Movie Data'!A4,1,8)</f>
        <v xml:space="preserve">Sex and </v>
      </c>
      <c r="F27" s="37" t="s">
        <v>141</v>
      </c>
      <c r="G27" s="46">
        <f ca="1">MONTH(TODAY())</f>
        <v>6</v>
      </c>
      <c r="H27" s="37">
        <f ca="1">MONTH(TODAY())</f>
        <v>6</v>
      </c>
    </row>
    <row r="28" spans="1:8" ht="18" customHeight="1">
      <c r="A28" s="38" t="str">
        <f>TRIM(UPPER('Movie Data'!A5))</f>
        <v>ENCHANTED</v>
      </c>
      <c r="B28" s="40" t="str">
        <f>CONCATENATE(LEFT('Movie Data'!A5,3),"-",RIGHT('Movie Data'!A5,3))</f>
        <v>Enc-ted</v>
      </c>
      <c r="C28" s="40" t="str">
        <f>CONCATENATE(TRIM('Movie Data'!A5)," [", 'Movie Data'!B5,"]")</f>
        <v>Enchanted [Comedy]</v>
      </c>
      <c r="D28" s="40" t="str">
        <f>MID('Movie Data'!A5,1,8)</f>
        <v>Enchante</v>
      </c>
      <c r="F28" s="40" t="s">
        <v>142</v>
      </c>
      <c r="G28" s="45">
        <f ca="1">DAY(TODAY())</f>
        <v>23</v>
      </c>
      <c r="H28" s="40">
        <f ca="1">DAY(TODAY())</f>
        <v>23</v>
      </c>
    </row>
    <row r="29" spans="1:8" ht="18" customHeight="1">
      <c r="A29" s="35" t="str">
        <f>TRIM(UPPER('Movie Data'!A6))</f>
        <v>HIGH SCHOOL MUSICAL 3: SENIOR YEAR</v>
      </c>
      <c r="B29" s="37" t="str">
        <f>CONCATENATE(LEFT('Movie Data'!A6,3),"-",RIGHT('Movie Data'!A6,3))</f>
        <v>Hig-ear</v>
      </c>
      <c r="C29" s="37" t="str">
        <f>CONCATENATE(TRIM('Movie Data'!A6)," [", 'Movie Data'!B6,"]")</f>
        <v>High School Musical 3: Senior Year [Comedy]</v>
      </c>
      <c r="D29" s="37" t="str">
        <f>MID('Movie Data'!A6,1,8)</f>
        <v>High Sch</v>
      </c>
      <c r="F29" s="37" t="s">
        <v>143</v>
      </c>
      <c r="G29" s="46">
        <f ca="1">YEAR(TODAY())-2007</f>
        <v>19</v>
      </c>
      <c r="H29" s="37">
        <f ca="1">YEAR(TODAY())-2007</f>
        <v>19</v>
      </c>
    </row>
    <row r="30" spans="1:8" ht="18" customHeight="1">
      <c r="A30" s="38" t="str">
        <f>TRIM(UPPER('Movie Data'!A7))</f>
        <v>WHAT HAPPENS IN VEGAS</v>
      </c>
      <c r="B30" s="40" t="str">
        <f>CONCATENATE(LEFT('Movie Data'!A7,3),"-",RIGHT('Movie Data'!A7,3))</f>
        <v>Wha-gas</v>
      </c>
      <c r="C30" s="40" t="str">
        <f>CONCATENATE(TRIM('Movie Data'!A7)," [", 'Movie Data'!B7,"]")</f>
        <v>What Happens in Vegas [Comedy]</v>
      </c>
      <c r="D30" s="40" t="str">
        <f>MID('Movie Data'!A7,1,8)</f>
        <v>What Hap</v>
      </c>
      <c r="F30" s="40" t="s">
        <v>144</v>
      </c>
      <c r="G30" s="45">
        <f>MAX('Movie Data'!H2:H75)</f>
        <v>2011</v>
      </c>
      <c r="H30" s="40">
        <f>MAX('Movie Data'!H2:H75)</f>
        <v>2011</v>
      </c>
    </row>
    <row r="31" spans="1:8" ht="18" customHeight="1">
      <c r="A31" s="35" t="str">
        <f>TRIM(UPPER('Movie Data'!A8))</f>
        <v>KNOCKED UP</v>
      </c>
      <c r="B31" s="37" t="str">
        <f>CONCATENATE(LEFT('Movie Data'!A8,3),"-",RIGHT('Movie Data'!A8,3))</f>
        <v>Kno- Up</v>
      </c>
      <c r="C31" s="37" t="str">
        <f>CONCATENATE(TRIM('Movie Data'!A8)," [", 'Movie Data'!B8,"]")</f>
        <v>Knocked Up [Comedy]</v>
      </c>
      <c r="D31" s="37" t="str">
        <f>MID('Movie Data'!A8,1,8)</f>
        <v xml:space="preserve">Knocked </v>
      </c>
      <c r="F31" s="37" t="s">
        <v>145</v>
      </c>
      <c r="G31" s="46">
        <f>MIN('Movie Data'!H2:H75)</f>
        <v>2007</v>
      </c>
      <c r="H31" s="37">
        <f>MIN('Movie Data'!H2:H75)</f>
        <v>2007</v>
      </c>
    </row>
    <row r="32" spans="1:8" ht="7.5" customHeight="1"/>
    <row r="33" spans="1:8" ht="21.75" customHeight="1">
      <c r="A33" s="57" t="s">
        <v>146</v>
      </c>
      <c r="B33" s="57"/>
      <c r="C33" s="57"/>
      <c r="D33" s="57"/>
      <c r="F33" s="57" t="s">
        <v>147</v>
      </c>
      <c r="G33" s="57"/>
      <c r="H33" s="57"/>
    </row>
    <row r="34" spans="1:8" ht="27.75" customHeight="1">
      <c r="A34" s="34" t="s">
        <v>148</v>
      </c>
      <c r="B34" s="34" t="s">
        <v>149</v>
      </c>
      <c r="C34" s="34" t="s">
        <v>150</v>
      </c>
      <c r="D34" s="34" t="s">
        <v>151</v>
      </c>
      <c r="F34" s="34" t="s">
        <v>152</v>
      </c>
      <c r="G34" s="34" t="s">
        <v>153</v>
      </c>
      <c r="H34" s="34" t="s">
        <v>154</v>
      </c>
    </row>
    <row r="35" spans="1:8" ht="18" customHeight="1">
      <c r="A35" s="35" t="s">
        <v>155</v>
      </c>
      <c r="B35" s="37">
        <f>COUNTIFS('Movie Data'!B2:B75,"Comedy",'Movie Data'!H2:H75,2008)</f>
        <v>12</v>
      </c>
      <c r="C35" s="36">
        <f>SUMIFS('Movie Data'!G2:G75,'Movie Data'!B2:B75,"Comedy",'Movie Data'!H2:H75,2008)</f>
        <v>1832221658.71</v>
      </c>
      <c r="D35" s="41">
        <f>AVERAGEIFS('Movie Data'!D2:D75,'Movie Data'!B2:B75,"Comedy",'Movie Data'!H2:H75,2008)</f>
        <v>68.666666666666671</v>
      </c>
      <c r="F35" s="37">
        <v>1</v>
      </c>
      <c r="G35" s="37" t="str">
        <f>IFERROR(INDEX('Movie Data'!A$2:A$75,MATCH(LARGE('Movie Data'!G$2:G$75,1),'Movie Data'!G$2:G$75,0)),"-")</f>
        <v>Mamma Mia!</v>
      </c>
      <c r="H35" s="37">
        <f>RANK('Movie Data'!D2,'Movie Data'!D$2:D$75,0)</f>
        <v>18</v>
      </c>
    </row>
    <row r="36" spans="1:8" ht="18" customHeight="1">
      <c r="A36" s="38" t="s">
        <v>156</v>
      </c>
      <c r="B36" s="40">
        <f>COUNTIFS('Movie Data'!B2:B75,"Comedy",'Movie Data'!H2:H75,2009)</f>
        <v>7</v>
      </c>
      <c r="C36" s="39">
        <f>SUMIFS('Movie Data'!G2:G75,'Movie Data'!B2:B75,"Comedy",'Movie Data'!H2:H75,2009)</f>
        <v>1118.78</v>
      </c>
      <c r="D36" s="42">
        <f>AVERAGEIFS('Movie Data'!D2:D75,'Movie Data'!B2:B75,"Comedy",'Movie Data'!H2:H75,2009)</f>
        <v>62.857142857142854</v>
      </c>
      <c r="F36" s="40">
        <v>2</v>
      </c>
      <c r="G36" s="40" t="str">
        <f>IFERROR(INDEX('Movie Data'!A$2:A$75,MATCH(LARGE('Movie Data'!G$2:G$75,2),'Movie Data'!G$2:G$75,0)),"-")</f>
        <v>WALL-E</v>
      </c>
      <c r="H36" s="40">
        <f>RANK('Movie Data'!D3,'Movie Data'!D$2:D$75,0)</f>
        <v>1</v>
      </c>
    </row>
    <row r="37" spans="1:8" ht="18" customHeight="1">
      <c r="A37" s="35" t="s">
        <v>157</v>
      </c>
      <c r="B37" s="37">
        <f>COUNTIFS('Movie Data'!B2:B75,"Drama",'Movie Data'!H2:H75,2008)</f>
        <v>3</v>
      </c>
      <c r="C37" s="36">
        <f>SUMIFS('Movie Data'!G2:G75,'Movie Data'!B2:B75,"Drama",'Movie Data'!H2:H75,2008)</f>
        <v>43339461.609999999</v>
      </c>
      <c r="D37" s="41">
        <f>AVERAGEIFS('Movie Data'!D2:D75,'Movie Data'!B2:B75,"Drama",'Movie Data'!H2:H75,2008)</f>
        <v>60</v>
      </c>
      <c r="F37" s="37">
        <v>3</v>
      </c>
      <c r="G37" s="37" t="str">
        <f>IFERROR(INDEX('Movie Data'!A$2:A$75,MATCH(LARGE('Movie Data'!G$2:G$75,3),'Movie Data'!G$2:G$75,0)),"-")</f>
        <v>Sex and the City</v>
      </c>
      <c r="H37" s="37">
        <f>RANK('Movie Data'!D4,'Movie Data'!D$2:D$75,0)</f>
        <v>10</v>
      </c>
    </row>
    <row r="38" spans="1:8" ht="18" customHeight="1">
      <c r="A38" s="38" t="s">
        <v>158</v>
      </c>
      <c r="B38" s="40">
        <f>COUNTIFS('Movie Data'!B2:B75,"Romance",'Movie Data'!H2:H75,2011)</f>
        <v>8</v>
      </c>
      <c r="C38" s="39">
        <f>SUMIFS('Movie Data'!G2:G75,'Movie Data'!B2:B75,"Romance",'Movie Data'!H2:H75,2011)</f>
        <v>186227.89500000002</v>
      </c>
      <c r="D38" s="42">
        <f>AVERAGEIFS('Movie Data'!D2:D75,'Movie Data'!B2:B75,"Romance",'Movie Data'!H2:H75,2011)</f>
        <v>56.125</v>
      </c>
      <c r="F38" s="40">
        <v>4</v>
      </c>
      <c r="G38" s="40" t="str">
        <f>IFERROR(INDEX('Movie Data'!A$2:A$75,MATCH(LARGE('Movie Data'!G$2:G$75,4),'Movie Data'!G$2:G$75,0)),"-")</f>
        <v>Enchanted</v>
      </c>
      <c r="H38" s="40">
        <f>RANK('Movie Data'!D5,'Movie Data'!D$2:D$75,0)</f>
        <v>13</v>
      </c>
    </row>
    <row r="39" spans="1:8" ht="18" customHeight="1">
      <c r="A39" s="35" t="s">
        <v>159</v>
      </c>
      <c r="B39" s="37">
        <f>COUNTIFS('Movie Data'!B2:B75,"Animation",'Movie Data'!H2:H75,2011)</f>
        <v>1</v>
      </c>
      <c r="C39" s="36">
        <f>SUMIFS('Movie Data'!G2:G75,'Movie Data'!B2:B75,"Animation",'Movie Data'!H2:H75,2011)</f>
        <v>193967</v>
      </c>
      <c r="D39" s="41">
        <f>AVERAGEIFS('Movie Data'!D2:D75,'Movie Data'!B2:B75,"Animation",'Movie Data'!H2:H75,2011)</f>
        <v>52</v>
      </c>
      <c r="F39" s="37">
        <v>5</v>
      </c>
      <c r="G39" s="37" t="str">
        <f>IFERROR(INDEX('Movie Data'!A$2:A$75,MATCH(LARGE('Movie Data'!G$2:G$75,5),'Movie Data'!G$2:G$75,0)),"-")</f>
        <v>High School Musical 3: Senior Year</v>
      </c>
      <c r="H39" s="37">
        <f>RANK('Movie Data'!D6,'Movie Data'!D$2:D$75,0)</f>
        <v>18</v>
      </c>
    </row>
    <row r="40" spans="1:8" ht="18" customHeight="1">
      <c r="A40" s="38" t="s">
        <v>160</v>
      </c>
      <c r="B40" s="40">
        <f>COUNTIFS('Movie Data'!B2:B75,"Comedy",'Movie Data'!H2:H75,2010)</f>
        <v>15</v>
      </c>
      <c r="C40" s="39">
        <f>SUMIFS('Movie Data'!G2:G75,'Movie Data'!B2:B75,"Comedy",'Movie Data'!H2:H75,2010)</f>
        <v>22636.119999999995</v>
      </c>
      <c r="D40" s="42">
        <f>AVERAGEIFS('Movie Data'!D2:D75,'Movie Data'!B2:B75,"Comedy",'Movie Data'!H2:H75,2010)</f>
        <v>52.6</v>
      </c>
      <c r="F40" s="40">
        <v>6</v>
      </c>
      <c r="G40" s="40" t="str">
        <f>IFERROR(INDEX('Movie Data'!A$2:A$75,MATCH(LARGE('Movie Data'!G$2:G$75,6),'Movie Data'!G$2:G$75,0)),"-")</f>
        <v>What Happens in Vegas</v>
      </c>
      <c r="H40" s="40">
        <f>RANK('Movie Data'!D7,'Movie Data'!D$2:D$75,0)</f>
        <v>22</v>
      </c>
    </row>
  </sheetData>
  <mergeCells count="9">
    <mergeCell ref="A23:D23"/>
    <mergeCell ref="F23:H23"/>
    <mergeCell ref="A33:D33"/>
    <mergeCell ref="F33:H33"/>
    <mergeCell ref="A1:H1"/>
    <mergeCell ref="A3:D3"/>
    <mergeCell ref="F3:H3"/>
    <mergeCell ref="A14:D14"/>
    <mergeCell ref="F14:H14"/>
  </mergeCells>
  <conditionalFormatting sqref="B5:B12">
    <cfRule type="colorScale" priority="2">
      <colorScale>
        <cfvo type="min"/>
        <cfvo type="percentile" val="50"/>
        <cfvo type="max"/>
        <color rgb="FFFF6B6B"/>
        <color rgb="FFFFE66D"/>
        <color rgb="FF4ECDC4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4"/>
  <sheetViews>
    <sheetView showGridLines="0" tabSelected="1" topLeftCell="A20" zoomScale="95" zoomScaleNormal="95" workbookViewId="0">
      <selection activeCell="G21" sqref="G21"/>
    </sheetView>
  </sheetViews>
  <sheetFormatPr defaultColWidth="8.7109375" defaultRowHeight="15"/>
  <cols>
    <col min="1" max="1" width="1" style="8" customWidth="1"/>
    <col min="2" max="2" width="22" style="8" customWidth="1"/>
    <col min="3" max="5" width="14" style="8" customWidth="1"/>
    <col min="6" max="6" width="1" style="8" customWidth="1"/>
    <col min="7" max="7" width="22" style="8" customWidth="1"/>
    <col min="8" max="10" width="14" style="8" customWidth="1"/>
    <col min="11" max="11" width="1" style="8" customWidth="1"/>
  </cols>
  <sheetData>
    <row r="1" spans="2:10" ht="42" customHeight="1">
      <c r="B1" s="59" t="s">
        <v>161</v>
      </c>
      <c r="C1" s="59"/>
      <c r="D1" s="59"/>
      <c r="E1" s="59"/>
      <c r="F1" s="59"/>
      <c r="G1" s="59"/>
      <c r="H1" s="59"/>
      <c r="I1" s="59"/>
      <c r="J1" s="59"/>
    </row>
    <row r="2" spans="2:10" ht="6" customHeight="1"/>
    <row r="3" spans="2:10" ht="21.75" customHeight="1">
      <c r="B3" s="60" t="s">
        <v>162</v>
      </c>
      <c r="C3" s="60"/>
      <c r="D3" s="60"/>
      <c r="G3" s="60" t="s">
        <v>163</v>
      </c>
      <c r="H3" s="60"/>
      <c r="I3" s="60"/>
    </row>
    <row r="4" spans="2:10" ht="18" customHeight="1">
      <c r="B4" s="61">
        <f>COUNTA('Movie Data'!A2:A75)</f>
        <v>74</v>
      </c>
      <c r="C4" s="61"/>
      <c r="D4" s="61"/>
      <c r="G4" s="62">
        <f>AVERAGE('Movie Data'!D2:D75)</f>
        <v>63.472972972972975</v>
      </c>
      <c r="H4" s="62"/>
      <c r="I4" s="62"/>
    </row>
    <row r="5" spans="2:10" ht="18" customHeight="1">
      <c r="B5" s="61"/>
      <c r="C5" s="61"/>
      <c r="D5" s="61"/>
      <c r="G5" s="62"/>
      <c r="H5" s="62"/>
      <c r="I5" s="62"/>
    </row>
    <row r="6" spans="2:10" ht="18" customHeight="1">
      <c r="B6" s="61"/>
      <c r="C6" s="61"/>
      <c r="D6" s="61"/>
      <c r="G6" s="62"/>
      <c r="H6" s="62"/>
      <c r="I6" s="62"/>
    </row>
    <row r="7" spans="2:10" ht="18" customHeight="1">
      <c r="B7" s="61"/>
      <c r="C7" s="61"/>
      <c r="D7" s="61"/>
      <c r="G7" s="62"/>
      <c r="H7" s="62"/>
      <c r="I7" s="62"/>
    </row>
    <row r="8" spans="2:10" ht="18" customHeight="1"/>
    <row r="9" spans="2:10" ht="6" customHeight="1"/>
    <row r="10" spans="2:10" ht="21.75" customHeight="1">
      <c r="B10" s="65" t="s">
        <v>164</v>
      </c>
      <c r="C10" s="65"/>
      <c r="D10" s="65"/>
      <c r="G10" s="66" t="s">
        <v>165</v>
      </c>
      <c r="H10" s="66"/>
      <c r="I10" s="66"/>
    </row>
    <row r="11" spans="2:10" ht="18" customHeight="1">
      <c r="B11" s="62">
        <f>AVERAGE('Movie Data'!F2:F75)</f>
        <v>47.364864864864863</v>
      </c>
      <c r="C11" s="62"/>
      <c r="D11" s="62"/>
      <c r="G11" s="67">
        <f>MAX('Movie Data'!G2:G75)</f>
        <v>609473955</v>
      </c>
      <c r="H11" s="67"/>
      <c r="I11" s="67"/>
    </row>
    <row r="12" spans="2:10" ht="18" customHeight="1">
      <c r="B12" s="62"/>
      <c r="C12" s="62"/>
      <c r="D12" s="62"/>
      <c r="G12" s="67"/>
      <c r="H12" s="67"/>
      <c r="I12" s="67"/>
    </row>
    <row r="13" spans="2:10" ht="18" customHeight="1">
      <c r="B13" s="62"/>
      <c r="C13" s="62"/>
      <c r="D13" s="62"/>
      <c r="G13" s="67"/>
      <c r="H13" s="67"/>
      <c r="I13" s="67"/>
    </row>
    <row r="14" spans="2:10" ht="18" customHeight="1">
      <c r="B14" s="62"/>
      <c r="C14" s="62"/>
      <c r="D14" s="62"/>
      <c r="G14" s="67"/>
      <c r="H14" s="67"/>
      <c r="I14" s="67"/>
    </row>
    <row r="15" spans="2:10" ht="18" customHeight="1"/>
    <row r="16" spans="2:10" ht="18" customHeight="1"/>
    <row r="17" spans="2:10" ht="18" customHeight="1"/>
    <row r="18" spans="2:10" ht="6" customHeight="1"/>
    <row r="19" spans="2:10" ht="21.75" customHeight="1">
      <c r="B19" s="68" t="s">
        <v>166</v>
      </c>
      <c r="C19" s="68"/>
      <c r="D19" s="68"/>
      <c r="E19" s="68"/>
      <c r="G19" s="68" t="s">
        <v>167</v>
      </c>
      <c r="H19" s="68"/>
      <c r="I19" s="68"/>
      <c r="J19" s="68"/>
    </row>
    <row r="20" spans="2:10" ht="19.5" customHeight="1">
      <c r="B20" s="47" t="s">
        <v>168</v>
      </c>
      <c r="C20" s="47" t="s">
        <v>110</v>
      </c>
      <c r="D20" s="47" t="s">
        <v>123</v>
      </c>
      <c r="E20" s="47" t="s">
        <v>169</v>
      </c>
      <c r="G20" s="47" t="s">
        <v>123</v>
      </c>
      <c r="H20" s="47" t="s">
        <v>170</v>
      </c>
      <c r="I20" s="47" t="s">
        <v>171</v>
      </c>
      <c r="J20" s="47" t="s">
        <v>172</v>
      </c>
    </row>
    <row r="21" spans="2:10" ht="18" customHeight="1">
      <c r="B21" s="48">
        <v>1</v>
      </c>
      <c r="C21" s="49" t="str">
        <f>IFERROR(INDEX('Movie Data'!A$2:A$75,MATCH(LARGE('Movie Data'!G$2:G$75,1),'Movie Data'!G$2:G$75,0)),"-")</f>
        <v>Mamma Mia!</v>
      </c>
      <c r="D21" s="37" t="str">
        <f>IFERROR(INDEX('Movie Data'!B$2:B$75,MATCH(LARGE('Movie Data'!G$2:G$75,1),'Movie Data'!G$2:G$75,0)),"-")</f>
        <v>Comedy</v>
      </c>
      <c r="E21" s="50">
        <f>IFERROR(LARGE('Movie Data'!G$2:G$75,1),0)</f>
        <v>609473955</v>
      </c>
      <c r="G21" s="51" t="s">
        <v>9</v>
      </c>
      <c r="H21" s="37">
        <f>COUNTIF('Movie Data'!B2:B75,"Comedy")</f>
        <v>41</v>
      </c>
      <c r="I21" s="41">
        <f>IFERROR(AVERAGEIF('Movie Data'!B2:B75,"Comedy",'Movie Data'!D2:D75),0)</f>
        <v>61.390243902439025</v>
      </c>
      <c r="J21" s="41">
        <f>IFERROR(AVERAGEIF('Movie Data'!B2:B75,"Comedy",'Movie Data'!F2:F75),0)</f>
        <v>43.487804878048777</v>
      </c>
    </row>
    <row r="22" spans="2:10" ht="18" customHeight="1">
      <c r="B22" s="47">
        <v>2</v>
      </c>
      <c r="C22" s="38" t="str">
        <f>IFERROR(INDEX('Movie Data'!A$2:A$75,MATCH(LARGE('Movie Data'!G$2:G$75,2),'Movie Data'!G$2:G$75,0)),"-")</f>
        <v>WALL-E</v>
      </c>
      <c r="D22" s="40" t="str">
        <f>IFERROR(INDEX('Movie Data'!B$2:B$75,MATCH(LARGE('Movie Data'!G$2:G$75,2),'Movie Data'!G$2:G$75,0)),"-")</f>
        <v>Animation</v>
      </c>
      <c r="E22" s="39">
        <f>IFERROR(LARGE('Movie Data'!G$2:G$75,2),0)</f>
        <v>521283432</v>
      </c>
      <c r="G22" s="52" t="s">
        <v>23</v>
      </c>
      <c r="H22" s="40">
        <f>COUNTIF('Movie Data'!B2:B75,"Romance")</f>
        <v>15</v>
      </c>
      <c r="I22" s="42">
        <f>IFERROR(AVERAGEIF('Movie Data'!B2:B75,"Romance",'Movie Data'!D2:D75),0)</f>
        <v>63.4</v>
      </c>
      <c r="J22" s="42">
        <f>IFERROR(AVERAGEIF('Movie Data'!B2:B75,"Romance",'Movie Data'!F2:F75),0)</f>
        <v>48.466666666666669</v>
      </c>
    </row>
    <row r="23" spans="2:10" ht="18" customHeight="1">
      <c r="B23" s="47">
        <v>3</v>
      </c>
      <c r="C23" s="35" t="str">
        <f>IFERROR(INDEX('Movie Data'!A$2:A$75,MATCH(LARGE('Movie Data'!G$2:G$75,3),'Movie Data'!G$2:G$75,0)),"-")</f>
        <v>Sex and the City</v>
      </c>
      <c r="D23" s="37" t="str">
        <f>IFERROR(INDEX('Movie Data'!B$2:B$75,MATCH(LARGE('Movie Data'!G$2:G$75,3),'Movie Data'!G$2:G$75,0)),"-")</f>
        <v>Comedy</v>
      </c>
      <c r="E23" s="36">
        <f>IFERROR(LARGE('Movie Data'!G$2:G$75,3),0)</f>
        <v>415253258</v>
      </c>
      <c r="G23" s="53" t="s">
        <v>33</v>
      </c>
      <c r="H23" s="37">
        <f>COUNTIF('Movie Data'!B2:B75,"Drama")</f>
        <v>13</v>
      </c>
      <c r="I23" s="41">
        <f>IFERROR(AVERAGEIF('Movie Data'!B2:B75,"Drama",'Movie Data'!D2:D75),0)</f>
        <v>67.230769230769226</v>
      </c>
      <c r="J23" s="41">
        <f>IFERROR(AVERAGEIF('Movie Data'!B2:B75,"Drama",'Movie Data'!F2:F75),0)</f>
        <v>51.53846153846154</v>
      </c>
    </row>
    <row r="24" spans="2:10" ht="18" customHeight="1">
      <c r="B24" s="47">
        <v>4</v>
      </c>
      <c r="C24" s="38" t="str">
        <f>IFERROR(INDEX('Movie Data'!A$2:A$75,MATCH(LARGE('Movie Data'!G$2:G$75,4),'Movie Data'!G$2:G$75,0)),"-")</f>
        <v>Enchanted</v>
      </c>
      <c r="D24" s="40" t="str">
        <f>IFERROR(INDEX('Movie Data'!B$2:B$75,MATCH(LARGE('Movie Data'!G$2:G$75,4),'Movie Data'!G$2:G$75,0)),"-")</f>
        <v>Comedy</v>
      </c>
      <c r="E24" s="39">
        <f>IFERROR(LARGE('Movie Data'!G$2:G$75,4),0)</f>
        <v>340487652</v>
      </c>
      <c r="G24" s="54" t="s">
        <v>12</v>
      </c>
      <c r="H24" s="40">
        <f>COUNTIF('Movie Data'!B2:B75,"Animation")</f>
        <v>3</v>
      </c>
      <c r="I24" s="42">
        <f>IFERROR(AVERAGEIF('Movie Data'!B2:B75,"Animation",'Movie Data'!D2:D75),0)</f>
        <v>76.333333333333329</v>
      </c>
      <c r="J24" s="42">
        <f>IFERROR(AVERAGEIF('Movie Data'!B2:B75,"Animation",'Movie Data'!F2:F75),0)</f>
        <v>80.333333333333329</v>
      </c>
    </row>
    <row r="25" spans="2:10" ht="18" customHeight="1">
      <c r="B25" s="47">
        <v>5</v>
      </c>
      <c r="C25" s="35" t="str">
        <f>IFERROR(INDEX('Movie Data'!A$2:A$75,MATCH(LARGE('Movie Data'!G$2:G$75,5),'Movie Data'!G$2:G$75,0)),"-")</f>
        <v>High School Musical 3: Senior Year</v>
      </c>
      <c r="D25" s="37" t="str">
        <f>IFERROR(INDEX('Movie Data'!B$2:B$75,MATCH(LARGE('Movie Data'!G$2:G$75,5),'Movie Data'!G$2:G$75,0)),"-")</f>
        <v>Comedy</v>
      </c>
      <c r="E25" s="36">
        <f>IFERROR(LARGE('Movie Data'!G$2:G$75,5),0)</f>
        <v>252044501</v>
      </c>
      <c r="G25" s="55" t="s">
        <v>46</v>
      </c>
      <c r="H25" s="37">
        <f>COUNTIF('Movie Data'!B2:B75,"Fantasy")</f>
        <v>1</v>
      </c>
      <c r="I25" s="41">
        <f>IFERROR(AVERAGEIF('Movie Data'!B2:B75,"Fantasy",'Movie Data'!D2:D75),0)</f>
        <v>81</v>
      </c>
      <c r="J25" s="41">
        <f>IFERROR(AVERAGEIF('Movie Data'!B2:B75,"Fantasy",'Movie Data'!F2:F75),0)</f>
        <v>73</v>
      </c>
    </row>
    <row r="26" spans="2:10" ht="18" customHeight="1">
      <c r="B26" s="47">
        <v>6</v>
      </c>
      <c r="C26" s="38" t="str">
        <f>IFERROR(INDEX('Movie Data'!A$2:A$75,MATCH(LARGE('Movie Data'!G$2:G$75,6),'Movie Data'!G$2:G$75,0)),"-")</f>
        <v>What Happens in Vegas</v>
      </c>
      <c r="D26" s="40" t="str">
        <f>IFERROR(INDEX('Movie Data'!B$2:B$75,MATCH(LARGE('Movie Data'!G$2:G$75,6),'Movie Data'!G$2:G$75,0)),"-")</f>
        <v>Comedy</v>
      </c>
      <c r="E26" s="39">
        <f>IFERROR(LARGE('Movie Data'!G$2:G$75,6),0)</f>
        <v>219367646</v>
      </c>
      <c r="G26" s="56" t="s">
        <v>77</v>
      </c>
      <c r="H26" s="40">
        <f>COUNTIF('Movie Data'!B2:B75,"Action")</f>
        <v>1</v>
      </c>
      <c r="I26" s="42">
        <f>IFERROR(AVERAGEIF('Movie Data'!B2:B75,"Action",'Movie Data'!D2:D75),0)</f>
        <v>45</v>
      </c>
      <c r="J26" s="42">
        <f>IFERROR(AVERAGEIF('Movie Data'!B2:B75,"Action",'Movie Data'!F2:F75),0)</f>
        <v>11</v>
      </c>
    </row>
    <row r="27" spans="2:10" ht="18" customHeight="1">
      <c r="B27" s="47">
        <v>7</v>
      </c>
      <c r="C27" s="35" t="str">
        <f>IFERROR(INDEX('Movie Data'!A$2:A$75,MATCH(LARGE('Movie Data'!G$2:G$75,7),'Movie Data'!G$2:G$75,0)),"-")</f>
        <v>Knocked Up</v>
      </c>
      <c r="D27" s="37" t="str">
        <f>IFERROR(INDEX('Movie Data'!B$2:B$75,MATCH(LARGE('Movie Data'!G$2:G$75,7),'Movie Data'!G$2:G$75,0)),"-")</f>
        <v>Comedy</v>
      </c>
      <c r="E27" s="36">
        <f>IFERROR(LARGE('Movie Data'!G$2:G$75,7),0)</f>
        <v>219001261</v>
      </c>
    </row>
    <row r="28" spans="2:10" ht="18" customHeight="1">
      <c r="B28" s="47">
        <v>8</v>
      </c>
      <c r="C28" s="38" t="str">
        <f>IFERROR(INDEX('Movie Data'!A$2:A$75,MATCH(LARGE('Movie Data'!G$2:G$75,8),'Movie Data'!G$2:G$75,0)),"-")</f>
        <v>27 Dresses</v>
      </c>
      <c r="D28" s="40" t="str">
        <f>IFERROR(INDEX('Movie Data'!B$2:B$75,MATCH(LARGE('Movie Data'!G$2:G$75,8),'Movie Data'!G$2:G$75,0)),"-")</f>
        <v>Comedy</v>
      </c>
      <c r="E28" s="39">
        <f>IFERROR(LARGE('Movie Data'!G$2:G$75,8),0)</f>
        <v>160308654</v>
      </c>
    </row>
    <row r="29" spans="2:10" ht="18" customHeight="1">
      <c r="B29" s="47">
        <v>9</v>
      </c>
      <c r="C29" s="35" t="str">
        <f>IFERROR(INDEX('Movie Data'!A$2:A$75,MATCH(LARGE('Movie Data'!G$2:G$75,9),'Movie Data'!G$2:G$75,0)),"-")</f>
        <v>P.S. I Love You</v>
      </c>
      <c r="D29" s="37" t="str">
        <f>IFERROR(INDEX('Movie Data'!B$2:B$75,MATCH(LARGE('Movie Data'!G$2:G$75,9),'Movie Data'!G$2:G$75,0)),"-")</f>
        <v>Romance</v>
      </c>
      <c r="E29" s="36">
        <f>IFERROR(LARGE('Movie Data'!G$2:G$75,9),0)</f>
        <v>153093505</v>
      </c>
    </row>
    <row r="30" spans="2:10" ht="18" customHeight="1">
      <c r="B30" s="47">
        <v>10</v>
      </c>
      <c r="C30" s="38" t="str">
        <f>IFERROR(INDEX('Movie Data'!A$2:A$75,MATCH(LARGE('Movie Data'!G$2:G$75,10),'Movie Data'!G$2:G$75,0)),"-")</f>
        <v>Music and Lyrics</v>
      </c>
      <c r="D30" s="40" t="str">
        <f>IFERROR(INDEX('Movie Data'!B$2:B$75,MATCH(LARGE('Movie Data'!G$2:G$75,10),'Movie Data'!G$2:G$75,0)),"-")</f>
        <v>Romance</v>
      </c>
      <c r="E30" s="39">
        <f>IFERROR(LARGE('Movie Data'!G$2:G$75,10),0)</f>
        <v>145896422</v>
      </c>
    </row>
    <row r="31" spans="2:10" ht="18" customHeight="1"/>
    <row r="32" spans="2:10" ht="21.75" customHeight="1">
      <c r="B32" s="63" t="s">
        <v>173</v>
      </c>
      <c r="C32" s="63"/>
      <c r="D32" s="63"/>
      <c r="E32" s="63"/>
      <c r="G32" s="63" t="s">
        <v>174</v>
      </c>
      <c r="H32" s="63"/>
      <c r="I32" s="63"/>
      <c r="J32" s="63"/>
    </row>
    <row r="33" spans="2:10" ht="21.75" customHeight="1">
      <c r="B33" s="34" t="s">
        <v>175</v>
      </c>
      <c r="C33" s="34" t="s">
        <v>176</v>
      </c>
      <c r="D33" s="34" t="s">
        <v>177</v>
      </c>
      <c r="E33" s="34" t="s">
        <v>178</v>
      </c>
      <c r="G33" s="34" t="s">
        <v>110</v>
      </c>
      <c r="H33" s="34" t="s">
        <v>179</v>
      </c>
      <c r="I33" s="34" t="s">
        <v>180</v>
      </c>
      <c r="J33" s="34" t="s">
        <v>181</v>
      </c>
    </row>
    <row r="34" spans="2:10" ht="18" customHeight="1">
      <c r="B34" s="35" t="str">
        <f>UPPER(TRIM('Movie Data'!A2))</f>
        <v>MAMMA MIA!</v>
      </c>
      <c r="C34" s="37" t="str">
        <f>CONCATENATE(LEFT('Movie Data'!A2,2),".",RIGHT('Movie Data'!A2,2))</f>
        <v>Ma.a!</v>
      </c>
      <c r="D34" s="35" t="str">
        <f>CONCATENATE(TRIM('Movie Data'!A2)," | ",'Movie Data'!B2)</f>
        <v>Mamma Mia! | Comedy</v>
      </c>
      <c r="E34" s="37" t="str">
        <f>MID('Movie Data'!A2,1,8)</f>
        <v>Mamma Mi</v>
      </c>
      <c r="G34" s="37" t="str">
        <f>IFERROR('Movie Data'!A2,"-")</f>
        <v>Mamma Mia!</v>
      </c>
      <c r="H34" s="37">
        <f>'Movie Data'!H2</f>
        <v>2008</v>
      </c>
      <c r="I34" s="37">
        <f ca="1">YEAR(TODAY())-'Movie Data'!H2</f>
        <v>18</v>
      </c>
      <c r="J34" s="37" t="str">
        <f>IF(OR('Movie Data'!D2&gt;=80,'Movie Data'!D2&lt;=30),IF('Movie Data'!D2&gt;=80,"Hit","Flop"),"Moderado")</f>
        <v>Moderado</v>
      </c>
    </row>
    <row r="35" spans="2:10" ht="18" customHeight="1">
      <c r="B35" s="38" t="str">
        <f>UPPER(TRIM('Movie Data'!A3))</f>
        <v>WALL-E</v>
      </c>
      <c r="C35" s="40" t="str">
        <f>CONCATENATE(LEFT('Movie Data'!A3,2),".",RIGHT('Movie Data'!A3,2))</f>
        <v>WA.-E</v>
      </c>
      <c r="D35" s="38" t="str">
        <f>CONCATENATE(TRIM('Movie Data'!A3)," | ",'Movie Data'!B3)</f>
        <v>WALL-E | Animation</v>
      </c>
      <c r="E35" s="40" t="str">
        <f>MID('Movie Data'!A3,1,8)</f>
        <v>WALL-E</v>
      </c>
      <c r="G35" s="40" t="str">
        <f>IFERROR('Movie Data'!A3,"-")</f>
        <v>WALL-E</v>
      </c>
      <c r="H35" s="40">
        <f>'Movie Data'!H3</f>
        <v>2008</v>
      </c>
      <c r="I35" s="40">
        <f ca="1">YEAR(TODAY())-'Movie Data'!H3</f>
        <v>18</v>
      </c>
      <c r="J35" s="40" t="str">
        <f>IF(OR('Movie Data'!D3&gt;=80,'Movie Data'!D3&lt;=30),IF('Movie Data'!D3&gt;=80,"Hit","Flop"),"Moderado")</f>
        <v>Hit</v>
      </c>
    </row>
    <row r="36" spans="2:10" ht="18" customHeight="1">
      <c r="B36" s="35" t="str">
        <f>UPPER(TRIM('Movie Data'!A4))</f>
        <v>SEX AND THE CITY</v>
      </c>
      <c r="C36" s="37" t="str">
        <f>CONCATENATE(LEFT('Movie Data'!A4,2),".",RIGHT('Movie Data'!A4,2))</f>
        <v>Se.ty</v>
      </c>
      <c r="D36" s="35" t="str">
        <f>CONCATENATE(TRIM('Movie Data'!A4)," | ",'Movie Data'!B4)</f>
        <v>Sex and the City | Comedy</v>
      </c>
      <c r="E36" s="37" t="str">
        <f>MID('Movie Data'!A4,1,8)</f>
        <v xml:space="preserve">Sex and </v>
      </c>
      <c r="G36" s="37" t="str">
        <f>IFERROR('Movie Data'!A4,"-")</f>
        <v>Sex and the City</v>
      </c>
      <c r="H36" s="37">
        <f>'Movie Data'!H4</f>
        <v>2008</v>
      </c>
      <c r="I36" s="37">
        <f ca="1">YEAR(TODAY())-'Movie Data'!H4</f>
        <v>18</v>
      </c>
      <c r="J36" s="37" t="str">
        <f>IF(OR('Movie Data'!D4&gt;=80,'Movie Data'!D4&lt;=30),IF('Movie Data'!D4&gt;=80,"Hit","Flop"),"Moderado")</f>
        <v>Hit</v>
      </c>
    </row>
    <row r="37" spans="2:10" ht="18" customHeight="1">
      <c r="B37" s="38" t="str">
        <f>UPPER(TRIM('Movie Data'!A5))</f>
        <v>ENCHANTED</v>
      </c>
      <c r="C37" s="40" t="str">
        <f>CONCATENATE(LEFT('Movie Data'!A5,2),".",RIGHT('Movie Data'!A5,2))</f>
        <v>En.ed</v>
      </c>
      <c r="D37" s="38" t="str">
        <f>CONCATENATE(TRIM('Movie Data'!A5)," | ",'Movie Data'!B5)</f>
        <v>Enchanted | Comedy</v>
      </c>
      <c r="E37" s="40" t="str">
        <f>MID('Movie Data'!A5,1,8)</f>
        <v>Enchante</v>
      </c>
      <c r="G37" s="40" t="str">
        <f>IFERROR('Movie Data'!A5,"-")</f>
        <v>Enchanted</v>
      </c>
      <c r="H37" s="40">
        <f>'Movie Data'!H5</f>
        <v>2007</v>
      </c>
      <c r="I37" s="40">
        <f ca="1">YEAR(TODAY())-'Movie Data'!H5</f>
        <v>19</v>
      </c>
      <c r="J37" s="40" t="str">
        <f>IF(OR('Movie Data'!D5&gt;=80,'Movie Data'!D5&lt;=30),IF('Movie Data'!D5&gt;=80,"Hit","Flop"),"Moderado")</f>
        <v>Hit</v>
      </c>
    </row>
    <row r="38" spans="2:10" ht="18" customHeight="1">
      <c r="B38" s="35" t="str">
        <f>UPPER(TRIM('Movie Data'!A6))</f>
        <v>HIGH SCHOOL MUSICAL 3: SENIOR YEAR</v>
      </c>
      <c r="C38" s="37" t="str">
        <f>CONCATENATE(LEFT('Movie Data'!A6,2),".",RIGHT('Movie Data'!A6,2))</f>
        <v>Hi.ar</v>
      </c>
      <c r="D38" s="35" t="str">
        <f>CONCATENATE(TRIM('Movie Data'!A6)," | ",'Movie Data'!B6)</f>
        <v>High School Musical 3: Senior Year | Comedy</v>
      </c>
      <c r="E38" s="37" t="str">
        <f>MID('Movie Data'!A6,1,8)</f>
        <v>High Sch</v>
      </c>
      <c r="G38" s="37" t="str">
        <f>IFERROR('Movie Data'!A6,"-")</f>
        <v>High School Musical 3: Senior Year</v>
      </c>
      <c r="H38" s="37">
        <f>'Movie Data'!H6</f>
        <v>2008</v>
      </c>
      <c r="I38" s="37">
        <f ca="1">YEAR(TODAY())-'Movie Data'!H6</f>
        <v>18</v>
      </c>
      <c r="J38" s="37" t="str">
        <f>IF(OR('Movie Data'!D6&gt;=80,'Movie Data'!D6&lt;=30),IF('Movie Data'!D6&gt;=80,"Hit","Flop"),"Moderado")</f>
        <v>Moderado</v>
      </c>
    </row>
    <row r="39" spans="2:10" ht="18" customHeight="1">
      <c r="B39" s="38" t="str">
        <f>UPPER(TRIM('Movie Data'!A7))</f>
        <v>WHAT HAPPENS IN VEGAS</v>
      </c>
      <c r="C39" s="40" t="str">
        <f>CONCATENATE(LEFT('Movie Data'!A7,2),".",RIGHT('Movie Data'!A7,2))</f>
        <v>Wh.as</v>
      </c>
      <c r="D39" s="38" t="str">
        <f>CONCATENATE(TRIM('Movie Data'!A7)," | ",'Movie Data'!B7)</f>
        <v>What Happens in Vegas | Comedy</v>
      </c>
      <c r="E39" s="40" t="str">
        <f>MID('Movie Data'!A7,1,8)</f>
        <v>What Hap</v>
      </c>
      <c r="G39" s="40" t="str">
        <f>IFERROR('Movie Data'!A7,"-")</f>
        <v>What Happens in Vegas</v>
      </c>
      <c r="H39" s="40">
        <f>'Movie Data'!H7</f>
        <v>2008</v>
      </c>
      <c r="I39" s="40">
        <f ca="1">YEAR(TODAY())-'Movie Data'!H7</f>
        <v>18</v>
      </c>
      <c r="J39" s="40" t="str">
        <f>IF(OR('Movie Data'!D7&gt;=80,'Movie Data'!D7&lt;=30),IF('Movie Data'!D7&gt;=80,"Hit","Flop"),"Moderado")</f>
        <v>Moderado</v>
      </c>
    </row>
    <row r="40" spans="2:10" ht="18" customHeight="1"/>
    <row r="41" spans="2:10" ht="18" customHeight="1"/>
    <row r="42" spans="2:10" ht="18" customHeight="1"/>
    <row r="43" spans="2:10" ht="18" customHeight="1"/>
    <row r="44" spans="2:10" ht="18" customHeight="1"/>
    <row r="45" spans="2:10" ht="18" customHeight="1"/>
    <row r="46" spans="2:10" ht="18" customHeight="1"/>
    <row r="47" spans="2:10" ht="18" customHeight="1"/>
    <row r="48" spans="2:10" ht="9.75" customHeight="1"/>
    <row r="49" spans="2:10" ht="15.75" customHeight="1">
      <c r="B49" s="64" t="str">
        <f ca="1">CONCATENATE("Gerado em: ",TEXT(TODAY(),"DD/MM/AAAA"),"  |  Base: Movie Dataset 2007-2011  |  Asimov Jr - Semana 7")</f>
        <v>Gerado em: 23/06/2026  |  Base: Movie Dataset 2007-2011  |  Asimov Jr - Semana 7</v>
      </c>
      <c r="C49" s="64"/>
      <c r="D49" s="64"/>
      <c r="E49" s="64"/>
      <c r="F49" s="64"/>
      <c r="G49" s="64"/>
      <c r="H49" s="64"/>
      <c r="I49" s="64"/>
      <c r="J49" s="64"/>
    </row>
    <row r="50" spans="2:10" ht="18" customHeight="1"/>
    <row r="51" spans="2:10" ht="18" customHeight="1"/>
    <row r="52" spans="2:10" ht="18" customHeight="1"/>
    <row r="53" spans="2:10" ht="18" customHeight="1"/>
    <row r="54" spans="2:10" ht="18" customHeight="1"/>
  </sheetData>
  <mergeCells count="14">
    <mergeCell ref="B32:E32"/>
    <mergeCell ref="G32:J32"/>
    <mergeCell ref="B49:J49"/>
    <mergeCell ref="B10:D10"/>
    <mergeCell ref="G10:I10"/>
    <mergeCell ref="B11:D14"/>
    <mergeCell ref="G11:I14"/>
    <mergeCell ref="B19:E19"/>
    <mergeCell ref="G19:J19"/>
    <mergeCell ref="B1:J1"/>
    <mergeCell ref="B3:D3"/>
    <mergeCell ref="G3:I3"/>
    <mergeCell ref="B4:D7"/>
    <mergeCell ref="G4:I7"/>
  </mergeCells>
  <conditionalFormatting sqref="I21:I26">
    <cfRule type="dataBar" priority="2">
      <dataBar>
        <cfvo type="min"/>
        <cfvo type="max"/>
        <color rgb="FF378ADD"/>
      </dataBar>
      <extLst>
        <ext xmlns:x14="http://schemas.microsoft.com/office/spreadsheetml/2009/9/main" uri="{B025F937-C7B1-47D3-B67F-A62EFF666E3E}">
          <x14:id>{7238DDEE-7913-4598-A462-3EC8BBE7F2EB}</x14:id>
        </ext>
      </extLst>
    </cfRule>
  </conditionalFormatting>
  <conditionalFormatting sqref="J21:J26">
    <cfRule type="dataBar" priority="3">
      <dataBar>
        <cfvo type="min"/>
        <cfvo type="max"/>
        <color rgb="FFE94560"/>
      </dataBar>
      <extLst>
        <ext xmlns:x14="http://schemas.microsoft.com/office/spreadsheetml/2009/9/main" uri="{B025F937-C7B1-47D3-B67F-A62EFF666E3E}">
          <x14:id>{1FCFAC17-A3AE-4C99-8427-40D92371A4CC}</x14:id>
        </ext>
      </extLst>
    </cfRule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38DDEE-7913-4598-A462-3EC8BBE7F2EB}">
            <x14:dataBar axisPosition="none">
              <x14:cfvo type="min"/>
              <x14:cfvo type="max"/>
              <x14:negativeFillColor rgb="FF378ADD"/>
            </x14:dataBar>
          </x14:cfRule>
          <xm:sqref>I21:I26</xm:sqref>
        </x14:conditionalFormatting>
        <x14:conditionalFormatting xmlns:xm="http://schemas.microsoft.com/office/excel/2006/main">
          <x14:cfRule type="dataBar" id="{1FCFAC17-A3AE-4C99-8427-40D92371A4CC}">
            <x14:dataBar axisPosition="none">
              <x14:cfvo type="min"/>
              <x14:cfvo type="max"/>
              <x14:negativeFillColor rgb="FFE94560"/>
            </x14:dataBar>
          </x14:cfRule>
          <xm:sqref>J21:J26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2026-06-23T19:53:23Z</dcterms:created>
  <dcterms:modified xsi:type="dcterms:W3CDTF">2026-06-23T20:33:10Z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2026-06-22T15:40:54Z</dcterms:created>
  <dc:creator>openpyxl</dc:creator>
  <dc:description/>
  <dc:language>en-US</dc:language>
  <cp:lastModifiedBy/>
  <dcterms:modified xsi:type="dcterms:W3CDTF">2026-06-23T19:49:30Z</dcterms:modified>
  <cp:revision>0</cp:revision>
  <dc:subject/>
  <dc:title/>
</cp:coreProperties>
</file>